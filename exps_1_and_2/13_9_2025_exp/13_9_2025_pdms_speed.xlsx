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chenim\Documents\GitHub\Bayesian_Optimization_for_Sheet_Robots\13_9_2025_exp\"/>
    </mc:Choice>
  </mc:AlternateContent>
  <xr:revisionPtr revIDLastSave="0" documentId="13_ncr:1_{0E79889E-21A5-4ED1-9308-36BDFDA8E2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2" l="1"/>
  <c r="U11" i="12"/>
  <c r="U25" i="12"/>
  <c r="U26" i="12"/>
  <c r="U27" i="12"/>
  <c r="U28" i="12"/>
  <c r="T25" i="12"/>
  <c r="T26" i="12"/>
  <c r="T27" i="12"/>
  <c r="T28" i="12"/>
  <c r="T29" i="12"/>
  <c r="U29" i="12"/>
  <c r="U24" i="12"/>
  <c r="T24" i="12"/>
  <c r="U23" i="12"/>
  <c r="T23" i="12"/>
  <c r="U22" i="12"/>
  <c r="T22" i="12"/>
  <c r="U12" i="12"/>
  <c r="T12" i="12"/>
  <c r="U10" i="12"/>
  <c r="T10" i="12"/>
  <c r="U9" i="12"/>
  <c r="T9" i="12"/>
  <c r="U8" i="12"/>
  <c r="T8" i="12"/>
  <c r="U7" i="12"/>
  <c r="T7" i="12"/>
  <c r="U6" i="12"/>
  <c r="T6" i="12"/>
  <c r="U5" i="12"/>
  <c r="T5" i="12"/>
</calcChain>
</file>

<file path=xl/sharedStrings.xml><?xml version="1.0" encoding="utf-8"?>
<sst xmlns="http://schemas.openxmlformats.org/spreadsheetml/2006/main" count="34" uniqueCount="18">
  <si>
    <t>PDMS(1:1)</t>
    <phoneticPr fontId="1" type="noConversion"/>
  </si>
  <si>
    <t>Average</t>
    <phoneticPr fontId="1" type="noConversion"/>
  </si>
  <si>
    <t>width/mm</t>
    <phoneticPr fontId="1" type="noConversion"/>
  </si>
  <si>
    <t>forward speed (sample 1)</t>
    <phoneticPr fontId="1" type="noConversion"/>
  </si>
  <si>
    <t>backward speed (sample 1)</t>
    <phoneticPr fontId="1" type="noConversion"/>
  </si>
  <si>
    <t>sheet-shape</t>
    <phoneticPr fontId="1" type="noConversion"/>
  </si>
  <si>
    <t>磁化</t>
    <phoneticPr fontId="1" type="noConversion"/>
  </si>
  <si>
    <t>50mT</t>
    <phoneticPr fontId="1" type="noConversion"/>
  </si>
  <si>
    <t>std</t>
    <phoneticPr fontId="1" type="noConversion"/>
  </si>
  <si>
    <t>初始0°，1个周期</t>
    <phoneticPr fontId="1" type="noConversion"/>
  </si>
  <si>
    <t>Frequency</t>
    <phoneticPr fontId="1" type="noConversion"/>
  </si>
  <si>
    <t>Halbach Array</t>
    <phoneticPr fontId="1" type="noConversion"/>
  </si>
  <si>
    <t>Halbach array</t>
    <phoneticPr fontId="1" type="noConversion"/>
  </si>
  <si>
    <t>没盖玻璃片</t>
    <phoneticPr fontId="1" type="noConversion"/>
  </si>
  <si>
    <t>4Hz (240r/min)</t>
    <phoneticPr fontId="1" type="noConversion"/>
  </si>
  <si>
    <t>8.9x3x0.18</t>
    <phoneticPr fontId="1" type="noConversion"/>
  </si>
  <si>
    <t>Original Data</t>
    <phoneticPr fontId="1" type="noConversion"/>
  </si>
  <si>
    <t>After Filtrate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</si>
</sst>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PDMS—Original</a:t>
            </a:r>
            <a:endParaRPr lang="zh-CN" altLang="en-US"/>
          </a:p>
        </c:rich>
      </c:tx>
      <c:layout>
        <c:manualLayout>
          <c:xMode val="edge"/>
          <c:yMode val="edge"/>
          <c:x val="0.42541270534008258"/>
          <c:y val="2.179944646570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Sheet1!$U$5:$U$12</c:f>
                <c:numCache>
                  <c:formatCode>General</c:formatCode>
                  <c:ptCount val="8"/>
                  <c:pt idx="0">
                    <c:v>7.5628575287387213E-3</c:v>
                  </c:pt>
                  <c:pt idx="1">
                    <c:v>0.26622558302604132</c:v>
                  </c:pt>
                  <c:pt idx="2">
                    <c:v>0.10584729617656227</c:v>
                  </c:pt>
                  <c:pt idx="3">
                    <c:v>0.49290563731689574</c:v>
                  </c:pt>
                  <c:pt idx="4">
                    <c:v>1.1811874965871596</c:v>
                  </c:pt>
                  <c:pt idx="5">
                    <c:v>1.079625315545941</c:v>
                  </c:pt>
                  <c:pt idx="6">
                    <c:v>0.70937036460408331</c:v>
                  </c:pt>
                  <c:pt idx="7">
                    <c:v>0.60726430923813668</c:v>
                  </c:pt>
                </c:numCache>
              </c:numRef>
            </c:plus>
            <c:minus>
              <c:numRef>
                <c:f>Sheet1!$U$5:$U$12</c:f>
                <c:numCache>
                  <c:formatCode>General</c:formatCode>
                  <c:ptCount val="8"/>
                  <c:pt idx="0">
                    <c:v>7.5628575287387213E-3</c:v>
                  </c:pt>
                  <c:pt idx="1">
                    <c:v>0.26622558302604132</c:v>
                  </c:pt>
                  <c:pt idx="2">
                    <c:v>0.10584729617656227</c:v>
                  </c:pt>
                  <c:pt idx="3">
                    <c:v>0.49290563731689574</c:v>
                  </c:pt>
                  <c:pt idx="4">
                    <c:v>1.1811874965871596</c:v>
                  </c:pt>
                  <c:pt idx="5">
                    <c:v>1.079625315545941</c:v>
                  </c:pt>
                  <c:pt idx="6">
                    <c:v>0.70937036460408331</c:v>
                  </c:pt>
                  <c:pt idx="7">
                    <c:v>0.60726430923813668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Sheet1!$A$5:$A$12</c:f>
              <c:numCache>
                <c:formatCode>General</c:formatCode>
                <c:ptCount val="8"/>
                <c:pt idx="0">
                  <c:v>0.6</c:v>
                </c:pt>
                <c:pt idx="1">
                  <c:v>1</c:v>
                </c:pt>
                <c:pt idx="2">
                  <c:v>1.4</c:v>
                </c:pt>
                <c:pt idx="3">
                  <c:v>1.8</c:v>
                </c:pt>
                <c:pt idx="4">
                  <c:v>2.2000000000000002</c:v>
                </c:pt>
                <c:pt idx="5">
                  <c:v>2.6</c:v>
                </c:pt>
                <c:pt idx="6">
                  <c:v>2.8</c:v>
                </c:pt>
                <c:pt idx="7">
                  <c:v>3</c:v>
                </c:pt>
              </c:numCache>
            </c:numRef>
          </c:xVal>
          <c:yVal>
            <c:numRef>
              <c:f>Sheet1!$T$5:$T$12</c:f>
              <c:numCache>
                <c:formatCode>General</c:formatCode>
                <c:ptCount val="8"/>
                <c:pt idx="0">
                  <c:v>0.62874299999999994</c:v>
                </c:pt>
                <c:pt idx="1">
                  <c:v>1.1024283333333333</c:v>
                </c:pt>
                <c:pt idx="2">
                  <c:v>1.6193703333333334</c:v>
                </c:pt>
                <c:pt idx="3">
                  <c:v>2.0924197142857142</c:v>
                </c:pt>
                <c:pt idx="4">
                  <c:v>3.1803045999999999</c:v>
                </c:pt>
                <c:pt idx="5">
                  <c:v>2.9090854285714287</c:v>
                </c:pt>
                <c:pt idx="6">
                  <c:v>2.3774834285714284</c:v>
                </c:pt>
                <c:pt idx="7">
                  <c:v>1.3567578333333337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8-492B-A68F-E2F02AA2B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210016"/>
        <c:axId val="727445648"/>
      </c:scatterChart>
      <c:valAx>
        <c:axId val="40421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Width</a:t>
                </a:r>
                <a:r>
                  <a:rPr lang="en-US" altLang="zh-CN" baseline="0"/>
                  <a:t> (mm)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445648"/>
        <c:crosses val="autoZero"/>
        <c:crossBetween val="midCat"/>
      </c:valAx>
      <c:valAx>
        <c:axId val="7274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Velocity (mm/s)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1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PDMS—OnlyBackward</a:t>
            </a:r>
            <a:endParaRPr lang="zh-CN" altLang="en-US"/>
          </a:p>
        </c:rich>
      </c:tx>
      <c:layout>
        <c:manualLayout>
          <c:xMode val="edge"/>
          <c:yMode val="edge"/>
          <c:x val="0.42541270534008258"/>
          <c:y val="2.179944646570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Sheet1!$U$22:$U$29</c:f>
                <c:numCache>
                  <c:formatCode>General</c:formatCode>
                  <c:ptCount val="8"/>
                  <c:pt idx="0">
                    <c:v>9.4389999999999752E-3</c:v>
                  </c:pt>
                  <c:pt idx="1">
                    <c:v>3.4638607115311151E-2</c:v>
                  </c:pt>
                  <c:pt idx="2">
                    <c:v>0.11027099822507981</c:v>
                  </c:pt>
                  <c:pt idx="3">
                    <c:v>0.22404953111644751</c:v>
                  </c:pt>
                  <c:pt idx="4">
                    <c:v>0.24134848964239788</c:v>
                  </c:pt>
                  <c:pt idx="5">
                    <c:v>0.31997785129159717</c:v>
                  </c:pt>
                  <c:pt idx="6">
                    <c:v>0.19656762430442978</c:v>
                  </c:pt>
                  <c:pt idx="7">
                    <c:v>0.19865985749572523</c:v>
                  </c:pt>
                </c:numCache>
              </c:numRef>
            </c:plus>
            <c:minus>
              <c:numRef>
                <c:f>Sheet1!$U$22:$U$29</c:f>
                <c:numCache>
                  <c:formatCode>General</c:formatCode>
                  <c:ptCount val="8"/>
                  <c:pt idx="0">
                    <c:v>9.4389999999999752E-3</c:v>
                  </c:pt>
                  <c:pt idx="1">
                    <c:v>3.4638607115311151E-2</c:v>
                  </c:pt>
                  <c:pt idx="2">
                    <c:v>0.11027099822507981</c:v>
                  </c:pt>
                  <c:pt idx="3">
                    <c:v>0.22404953111644751</c:v>
                  </c:pt>
                  <c:pt idx="4">
                    <c:v>0.24134848964239788</c:v>
                  </c:pt>
                  <c:pt idx="5">
                    <c:v>0.31997785129159717</c:v>
                  </c:pt>
                  <c:pt idx="6">
                    <c:v>0.19656762430442978</c:v>
                  </c:pt>
                  <c:pt idx="7">
                    <c:v>0.19865985749572523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Sheet1!$A$22:$A$29</c:f>
              <c:numCache>
                <c:formatCode>General</c:formatCode>
                <c:ptCount val="8"/>
                <c:pt idx="0">
                  <c:v>0.6</c:v>
                </c:pt>
                <c:pt idx="1">
                  <c:v>1</c:v>
                </c:pt>
                <c:pt idx="2">
                  <c:v>1.4</c:v>
                </c:pt>
                <c:pt idx="3">
                  <c:v>1.8</c:v>
                </c:pt>
                <c:pt idx="4">
                  <c:v>2.2000000000000002</c:v>
                </c:pt>
                <c:pt idx="5">
                  <c:v>2.6</c:v>
                </c:pt>
                <c:pt idx="6">
                  <c:v>2.8</c:v>
                </c:pt>
                <c:pt idx="7">
                  <c:v>3</c:v>
                </c:pt>
              </c:numCache>
            </c:numRef>
          </c:xVal>
          <c:yVal>
            <c:numRef>
              <c:f>Sheet1!$T$22:$T$29</c:f>
              <c:numCache>
                <c:formatCode>General</c:formatCode>
                <c:ptCount val="8"/>
                <c:pt idx="0">
                  <c:v>0.62524999999999997</c:v>
                </c:pt>
                <c:pt idx="1">
                  <c:v>1.3672896666666665</c:v>
                </c:pt>
                <c:pt idx="2">
                  <c:v>1.6679893333333335</c:v>
                </c:pt>
                <c:pt idx="3">
                  <c:v>2.4734189999999998</c:v>
                </c:pt>
                <c:pt idx="4">
                  <c:v>4.1325399999999997</c:v>
                </c:pt>
                <c:pt idx="5">
                  <c:v>3.8192227499999998</c:v>
                </c:pt>
                <c:pt idx="6">
                  <c:v>2.4104922499999999</c:v>
                </c:pt>
                <c:pt idx="7">
                  <c:v>1.1862343333333334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4-4EEF-9643-B717DE475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210016"/>
        <c:axId val="727445648"/>
      </c:scatterChart>
      <c:valAx>
        <c:axId val="40421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Width</a:t>
                </a:r>
                <a:r>
                  <a:rPr lang="en-US" altLang="zh-CN" baseline="0"/>
                  <a:t> (mm)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445648"/>
        <c:crosses val="autoZero"/>
        <c:crossBetween val="midCat"/>
      </c:valAx>
      <c:valAx>
        <c:axId val="7274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Velocity (mm/s)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1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34636</xdr:rowOff>
    </xdr:from>
    <xdr:to>
      <xdr:col>30</xdr:col>
      <xdr:colOff>298222</xdr:colOff>
      <xdr:row>18</xdr:row>
      <xdr:rowOff>21607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0B4A2F9-34DE-4CE2-AD38-3B53761F8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659245</xdr:colOff>
      <xdr:row>19</xdr:row>
      <xdr:rowOff>15010</xdr:rowOff>
    </xdr:from>
    <xdr:to>
      <xdr:col>30</xdr:col>
      <xdr:colOff>299376</xdr:colOff>
      <xdr:row>34</xdr:row>
      <xdr:rowOff>48162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876BD55-348A-4A73-B5AF-D2D65EEF5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B593-54F3-457E-80C6-47D23339B304}">
  <dimension ref="A2:Y33"/>
  <sheetViews>
    <sheetView tabSelected="1" topLeftCell="P12" zoomScale="78" zoomScaleNormal="100" workbookViewId="0">
      <selection activeCell="AJ32" sqref="AJ32"/>
    </sheetView>
  </sheetViews>
  <sheetFormatPr defaultRowHeight="14.4"/>
  <cols>
    <col min="1" max="1" width="11.77734375" bestFit="1" customWidth="1"/>
    <col min="6" max="6" width="9.77734375" customWidth="1"/>
    <col min="8" max="8" width="10.44140625" bestFit="1" customWidth="1"/>
  </cols>
  <sheetData>
    <row r="2" spans="1:25" ht="15" thickBot="1">
      <c r="A2" t="s">
        <v>16</v>
      </c>
    </row>
    <row r="3" spans="1:25" ht="15" thickTop="1">
      <c r="A3" s="5" t="s">
        <v>0</v>
      </c>
      <c r="B3" s="18" t="s">
        <v>3</v>
      </c>
      <c r="C3" s="18"/>
      <c r="D3" s="18"/>
      <c r="E3" s="18" t="s">
        <v>4</v>
      </c>
      <c r="F3" s="18"/>
      <c r="G3" s="18"/>
      <c r="H3" s="10"/>
      <c r="I3" s="15"/>
      <c r="J3" s="16"/>
      <c r="K3" s="16"/>
      <c r="L3" s="16"/>
      <c r="M3" s="16"/>
      <c r="N3" s="16"/>
      <c r="O3" s="16"/>
      <c r="P3" s="17"/>
      <c r="Q3" s="10"/>
      <c r="R3" s="10"/>
      <c r="S3" s="10"/>
      <c r="T3" s="12" t="s">
        <v>1</v>
      </c>
      <c r="U3" s="13"/>
      <c r="V3" s="8"/>
      <c r="W3" s="8"/>
      <c r="X3" s="8"/>
      <c r="Y3" s="8"/>
    </row>
    <row r="4" spans="1:25">
      <c r="A4" s="6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2" t="s">
        <v>1</v>
      </c>
      <c r="U4" s="9" t="s">
        <v>8</v>
      </c>
      <c r="V4" s="4"/>
      <c r="W4" s="1"/>
      <c r="X4" s="1"/>
      <c r="Y4" s="1"/>
    </row>
    <row r="5" spans="1:25">
      <c r="A5" s="6">
        <v>0.6</v>
      </c>
      <c r="B5" s="3">
        <v>0.63318300000000005</v>
      </c>
      <c r="C5" s="2">
        <v>0.63128899999999999</v>
      </c>
      <c r="D5" s="2"/>
      <c r="E5" s="2">
        <v>0.615811</v>
      </c>
      <c r="F5" s="2">
        <v>0.63468899999999995</v>
      </c>
      <c r="G5" s="2"/>
      <c r="H5" s="3"/>
      <c r="I5" s="2"/>
      <c r="J5" s="2"/>
      <c r="K5" s="2"/>
      <c r="L5" s="2"/>
      <c r="M5" s="2"/>
      <c r="N5" s="3"/>
      <c r="O5" s="2"/>
      <c r="P5" s="2"/>
      <c r="Q5" s="2"/>
      <c r="R5" s="2"/>
      <c r="S5" s="1"/>
      <c r="T5" s="2">
        <f t="shared" ref="T5:T8" si="0">AVERAGE(B5:R5)</f>
        <v>0.62874299999999994</v>
      </c>
      <c r="U5" s="9">
        <f t="shared" ref="U5:U9" si="1">_xlfn.STDEV.P(B5:R5)</f>
        <v>7.5628575287387213E-3</v>
      </c>
      <c r="V5" s="4"/>
      <c r="X5" s="4"/>
      <c r="Y5" s="1"/>
    </row>
    <row r="6" spans="1:25">
      <c r="A6" s="6">
        <v>1</v>
      </c>
      <c r="B6" s="2">
        <v>0.85674600000000001</v>
      </c>
      <c r="C6" s="2">
        <v>0.818079</v>
      </c>
      <c r="D6" s="2">
        <v>0.83787599999999995</v>
      </c>
      <c r="E6" s="2">
        <v>1.3217220000000001</v>
      </c>
      <c r="F6" s="2">
        <v>1.374503</v>
      </c>
      <c r="G6" s="2">
        <v>1.4056439999999999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"/>
      <c r="T6" s="2">
        <f t="shared" si="0"/>
        <v>1.1024283333333333</v>
      </c>
      <c r="U6" s="9">
        <f t="shared" si="1"/>
        <v>0.26622558302604132</v>
      </c>
      <c r="V6" s="4"/>
      <c r="X6" s="4"/>
    </row>
    <row r="7" spans="1:25">
      <c r="A7" s="6">
        <v>1.4</v>
      </c>
      <c r="B7" s="2">
        <v>1.6276790000000001</v>
      </c>
      <c r="C7" s="2">
        <v>1.6187689999999999</v>
      </c>
      <c r="D7" s="2">
        <v>1.4658059999999999</v>
      </c>
      <c r="E7" s="2">
        <v>1.586937</v>
      </c>
      <c r="F7" s="2">
        <v>1.5931360000000001</v>
      </c>
      <c r="G7" s="2">
        <v>1.823895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"/>
      <c r="T7" s="2">
        <f t="shared" si="0"/>
        <v>1.6193703333333334</v>
      </c>
      <c r="U7" s="9">
        <f t="shared" si="1"/>
        <v>0.10584729617656227</v>
      </c>
      <c r="V7" s="4"/>
      <c r="X7" s="4"/>
    </row>
    <row r="8" spans="1:25">
      <c r="A8" s="6">
        <v>1.8</v>
      </c>
      <c r="B8" s="2">
        <v>1.349696</v>
      </c>
      <c r="C8" s="2">
        <v>1.5251129999999999</v>
      </c>
      <c r="D8" s="2">
        <v>1.8784529999999999</v>
      </c>
      <c r="E8" s="2">
        <v>2.2007680000000001</v>
      </c>
      <c r="F8" s="2">
        <v>2.7330589999999999</v>
      </c>
      <c r="G8" s="2">
        <v>2.6516169999999999</v>
      </c>
      <c r="H8" s="2">
        <v>2.3082319999999998</v>
      </c>
      <c r="I8" s="2"/>
      <c r="J8" s="2"/>
      <c r="K8" s="2"/>
      <c r="L8" s="2"/>
      <c r="M8" s="2"/>
      <c r="N8" s="2"/>
      <c r="O8" s="2"/>
      <c r="P8" s="2"/>
      <c r="Q8" s="2"/>
      <c r="R8" s="2"/>
      <c r="S8" s="1"/>
      <c r="T8" s="2">
        <f t="shared" si="0"/>
        <v>2.0924197142857142</v>
      </c>
      <c r="U8" s="9">
        <f t="shared" si="1"/>
        <v>0.49290563731689574</v>
      </c>
      <c r="V8" s="4"/>
      <c r="X8" s="4"/>
      <c r="Y8" s="1"/>
    </row>
    <row r="9" spans="1:25">
      <c r="A9" s="6">
        <v>2.2000000000000002</v>
      </c>
      <c r="B9" s="2">
        <v>1.734199</v>
      </c>
      <c r="C9" s="2"/>
      <c r="D9" s="2">
        <v>1.7697039999999999</v>
      </c>
      <c r="E9" s="2">
        <v>3.885278</v>
      </c>
      <c r="F9" s="2">
        <v>4.0524069999999996</v>
      </c>
      <c r="G9" s="2">
        <v>4.4599349999999998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/>
      <c r="T9" s="2">
        <f>AVERAGE(B9:R9)</f>
        <v>3.1803045999999999</v>
      </c>
      <c r="U9" s="9">
        <f t="shared" si="1"/>
        <v>1.1811874965871596</v>
      </c>
      <c r="V9" s="4"/>
      <c r="W9" s="1"/>
    </row>
    <row r="10" spans="1:25">
      <c r="A10" s="6">
        <v>2.6</v>
      </c>
      <c r="B10" s="2">
        <v>1.7793760000000001</v>
      </c>
      <c r="C10" s="2">
        <v>1.5912520000000001</v>
      </c>
      <c r="D10" s="2">
        <v>1.7160789999999999</v>
      </c>
      <c r="E10" s="2">
        <v>3.272081</v>
      </c>
      <c r="F10" s="2">
        <v>4.0680199999999997</v>
      </c>
      <c r="G10" s="2">
        <v>3.9249529999999999</v>
      </c>
      <c r="H10" s="2">
        <v>4.0118369999999999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1"/>
      <c r="T10" s="2">
        <f>AVERAGE(B10:R10)</f>
        <v>2.9090854285714287</v>
      </c>
      <c r="U10" s="9">
        <f>_xlfn.STDEV.P(B10:R10)</f>
        <v>1.079625315545941</v>
      </c>
      <c r="V10" s="4"/>
      <c r="W10" s="1"/>
    </row>
    <row r="11" spans="1:25">
      <c r="A11" s="6">
        <v>2.8</v>
      </c>
      <c r="B11" s="2">
        <v>0.83845199999999998</v>
      </c>
      <c r="C11" s="2">
        <v>3.1314479999999998</v>
      </c>
      <c r="D11" s="2">
        <v>3.0305149999999998</v>
      </c>
      <c r="E11" s="2">
        <v>2.2403330000000001</v>
      </c>
      <c r="F11" s="2">
        <v>2.3713549999999999</v>
      </c>
      <c r="G11" s="2">
        <v>2.2891240000000002</v>
      </c>
      <c r="H11" s="2">
        <v>2.7411569999999998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1"/>
      <c r="T11" s="2">
        <f>AVERAGE(B11:R11)</f>
        <v>2.3774834285714284</v>
      </c>
      <c r="U11" s="9">
        <f>_xlfn.STDEV.P(B11:R11)</f>
        <v>0.70937036460408331</v>
      </c>
      <c r="V11" s="4"/>
      <c r="W11" s="1"/>
    </row>
    <row r="12" spans="1:25" ht="15" thickBot="1">
      <c r="A12" s="6">
        <v>3</v>
      </c>
      <c r="B12" s="7">
        <v>1.4629479999999999</v>
      </c>
      <c r="C12" s="7">
        <v>1.0057970000000001</v>
      </c>
      <c r="D12" s="7">
        <v>1.089958</v>
      </c>
      <c r="E12" s="7">
        <v>1.113626</v>
      </c>
      <c r="F12" s="7">
        <v>2.6459990000000002</v>
      </c>
      <c r="G12" s="7">
        <v>0.82221900000000003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"/>
      <c r="T12" s="2">
        <f>AVERAGE(B12:R12)</f>
        <v>1.3567578333333337</v>
      </c>
      <c r="U12" s="9">
        <f t="shared" ref="U12" si="2">_xlfn.STDEV.P(B12:R12)</f>
        <v>0.60726430923813668</v>
      </c>
      <c r="V12" s="4"/>
      <c r="W12" s="1"/>
    </row>
    <row r="13" spans="1:25" ht="15" thickTop="1">
      <c r="A13" s="14" t="s">
        <v>11</v>
      </c>
      <c r="B13" s="14"/>
      <c r="C13" s="14" t="s">
        <v>7</v>
      </c>
      <c r="D13" s="1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T13" s="1"/>
      <c r="U13" s="1"/>
      <c r="V13" s="1"/>
      <c r="W13" s="1"/>
      <c r="X13" s="1"/>
      <c r="Y13" s="1"/>
    </row>
    <row r="14" spans="1:25">
      <c r="A14" s="11" t="s">
        <v>5</v>
      </c>
      <c r="B14" s="11"/>
      <c r="C14" s="11" t="s">
        <v>15</v>
      </c>
      <c r="D14" s="11"/>
      <c r="E14" s="1"/>
      <c r="F14" s="1" t="s">
        <v>13</v>
      </c>
      <c r="G14" s="1"/>
      <c r="H14" s="1"/>
      <c r="I14" s="1"/>
      <c r="J14" s="1"/>
      <c r="K14" s="1"/>
      <c r="L14" s="1"/>
      <c r="M14" s="1"/>
      <c r="N14" s="1"/>
      <c r="O14" s="1"/>
      <c r="S14" s="1"/>
      <c r="T14" s="1"/>
      <c r="U14" s="1"/>
      <c r="V14" s="1"/>
      <c r="W14" s="1"/>
      <c r="X14" s="1"/>
      <c r="Y14" s="1"/>
    </row>
    <row r="15" spans="1:25">
      <c r="A15" s="11" t="s">
        <v>6</v>
      </c>
      <c r="B15" s="11"/>
      <c r="C15" s="11" t="s">
        <v>9</v>
      </c>
      <c r="D15" s="1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T15" s="1"/>
      <c r="U15" s="1"/>
      <c r="V15" s="1"/>
      <c r="W15" s="1"/>
      <c r="X15" s="1"/>
      <c r="Y15" s="1"/>
    </row>
    <row r="16" spans="1:25">
      <c r="A16" s="11" t="s">
        <v>10</v>
      </c>
      <c r="B16" s="11"/>
      <c r="C16" s="11" t="s">
        <v>14</v>
      </c>
      <c r="D16" s="11"/>
    </row>
    <row r="19" spans="1:21" ht="15" thickBot="1">
      <c r="A19" t="s">
        <v>17</v>
      </c>
    </row>
    <row r="20" spans="1:21" ht="15" thickTop="1">
      <c r="A20" s="5" t="s">
        <v>0</v>
      </c>
      <c r="B20" s="18" t="s">
        <v>3</v>
      </c>
      <c r="C20" s="18"/>
      <c r="D20" s="18"/>
      <c r="E20" s="18" t="s">
        <v>4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2" t="s">
        <v>1</v>
      </c>
      <c r="U20" s="13"/>
    </row>
    <row r="21" spans="1:21">
      <c r="A21" s="6" t="s">
        <v>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  <c r="T21" s="2" t="s">
        <v>1</v>
      </c>
      <c r="U21" s="9" t="s">
        <v>8</v>
      </c>
    </row>
    <row r="22" spans="1:21">
      <c r="A22" s="6">
        <v>0.6</v>
      </c>
      <c r="B22" s="3"/>
      <c r="C22" s="2"/>
      <c r="D22" s="2"/>
      <c r="E22" s="2">
        <v>0.615811</v>
      </c>
      <c r="F22" s="2">
        <v>0.63468899999999995</v>
      </c>
      <c r="G22" s="2"/>
      <c r="H22" s="3"/>
      <c r="I22" s="2"/>
      <c r="J22" s="2"/>
      <c r="K22" s="2"/>
      <c r="L22" s="2"/>
      <c r="M22" s="2"/>
      <c r="N22" s="3"/>
      <c r="O22" s="2"/>
      <c r="P22" s="2"/>
      <c r="Q22" s="2"/>
      <c r="R22" s="2"/>
      <c r="S22" s="1"/>
      <c r="T22" s="2">
        <f t="shared" ref="T22:T29" si="3">AVERAGE(B22:R22)</f>
        <v>0.62524999999999997</v>
      </c>
      <c r="U22" s="9">
        <f t="shared" ref="U22:U29" si="4">_xlfn.STDEV.P(B22:R22)</f>
        <v>9.4389999999999752E-3</v>
      </c>
    </row>
    <row r="23" spans="1:21">
      <c r="A23" s="6">
        <v>1</v>
      </c>
      <c r="B23" s="2"/>
      <c r="C23" s="2"/>
      <c r="D23" s="2"/>
      <c r="E23" s="2">
        <v>1.3217220000000001</v>
      </c>
      <c r="F23" s="2">
        <v>1.374503</v>
      </c>
      <c r="G23" s="2">
        <v>1.4056439999999999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"/>
      <c r="T23" s="2">
        <f t="shared" si="3"/>
        <v>1.3672896666666665</v>
      </c>
      <c r="U23" s="9">
        <f t="shared" si="4"/>
        <v>3.4638607115311151E-2</v>
      </c>
    </row>
    <row r="24" spans="1:21">
      <c r="A24" s="6">
        <v>1.4</v>
      </c>
      <c r="B24" s="2"/>
      <c r="C24" s="2"/>
      <c r="D24" s="2"/>
      <c r="E24" s="2">
        <v>1.586937</v>
      </c>
      <c r="F24" s="2">
        <v>1.5931360000000001</v>
      </c>
      <c r="G24" s="2">
        <v>1.823895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"/>
      <c r="T24" s="2">
        <f t="shared" si="3"/>
        <v>1.6679893333333335</v>
      </c>
      <c r="U24" s="9">
        <f t="shared" si="4"/>
        <v>0.11027099822507981</v>
      </c>
    </row>
    <row r="25" spans="1:21">
      <c r="A25" s="6">
        <v>1.8</v>
      </c>
      <c r="B25" s="2"/>
      <c r="C25" s="2"/>
      <c r="D25" s="2"/>
      <c r="E25" s="2">
        <v>2.2007680000000001</v>
      </c>
      <c r="F25" s="2">
        <v>2.7330589999999999</v>
      </c>
      <c r="G25" s="2">
        <v>2.6516169999999999</v>
      </c>
      <c r="H25" s="2">
        <v>2.3082319999999998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1"/>
      <c r="T25" s="2">
        <f t="shared" si="3"/>
        <v>2.4734189999999998</v>
      </c>
      <c r="U25" s="9">
        <f t="shared" si="4"/>
        <v>0.22404953111644751</v>
      </c>
    </row>
    <row r="26" spans="1:21">
      <c r="A26" s="6">
        <v>2.2000000000000002</v>
      </c>
      <c r="B26" s="2"/>
      <c r="C26" s="2"/>
      <c r="D26" s="2"/>
      <c r="E26" s="2">
        <v>3.885278</v>
      </c>
      <c r="F26" s="2">
        <v>4.0524069999999996</v>
      </c>
      <c r="G26" s="2">
        <v>4.4599349999999998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"/>
      <c r="T26" s="2">
        <f t="shared" si="3"/>
        <v>4.1325399999999997</v>
      </c>
      <c r="U26" s="9">
        <f t="shared" si="4"/>
        <v>0.24134848964239788</v>
      </c>
    </row>
    <row r="27" spans="1:21">
      <c r="A27" s="6">
        <v>2.6</v>
      </c>
      <c r="B27" s="2"/>
      <c r="C27" s="2"/>
      <c r="D27" s="2"/>
      <c r="E27" s="2">
        <v>3.272081</v>
      </c>
      <c r="F27" s="2">
        <v>4.0680199999999997</v>
      </c>
      <c r="G27" s="2">
        <v>3.9249529999999999</v>
      </c>
      <c r="H27" s="2">
        <v>4.0118369999999999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1"/>
      <c r="T27" s="2">
        <f t="shared" si="3"/>
        <v>3.8192227499999998</v>
      </c>
      <c r="U27" s="9">
        <f t="shared" si="4"/>
        <v>0.31997785129159717</v>
      </c>
    </row>
    <row r="28" spans="1:21">
      <c r="A28" s="6">
        <v>2.8</v>
      </c>
      <c r="B28" s="2"/>
      <c r="C28" s="2"/>
      <c r="D28" s="2"/>
      <c r="E28" s="2">
        <v>2.2403330000000001</v>
      </c>
      <c r="F28" s="2">
        <v>2.3713549999999999</v>
      </c>
      <c r="G28" s="2">
        <v>2.2891240000000002</v>
      </c>
      <c r="H28" s="2">
        <v>2.7411569999999998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1"/>
      <c r="T28" s="2">
        <f t="shared" si="3"/>
        <v>2.4104922499999999</v>
      </c>
      <c r="U28" s="9">
        <f t="shared" si="4"/>
        <v>0.19656762430442978</v>
      </c>
    </row>
    <row r="29" spans="1:21" ht="15" thickBot="1">
      <c r="A29" s="6">
        <v>3</v>
      </c>
      <c r="B29" s="7"/>
      <c r="C29" s="7"/>
      <c r="D29" s="7"/>
      <c r="E29" s="7">
        <v>1.4629479999999999</v>
      </c>
      <c r="F29" s="7">
        <v>1.0057970000000001</v>
      </c>
      <c r="G29" s="7">
        <v>1.089958</v>
      </c>
      <c r="H29" s="7"/>
      <c r="I29" s="2"/>
      <c r="J29" s="2"/>
      <c r="K29" s="2"/>
      <c r="L29" s="2"/>
      <c r="M29" s="2"/>
      <c r="N29" s="2"/>
      <c r="O29" s="2"/>
      <c r="P29" s="2"/>
      <c r="Q29" s="2"/>
      <c r="R29" s="2"/>
      <c r="S29" s="1"/>
      <c r="T29" s="2">
        <f t="shared" si="3"/>
        <v>1.1862343333333334</v>
      </c>
      <c r="U29" s="9">
        <f t="shared" si="4"/>
        <v>0.19865985749572523</v>
      </c>
    </row>
    <row r="30" spans="1:21" ht="15" thickTop="1">
      <c r="A30" s="14" t="s">
        <v>12</v>
      </c>
      <c r="B30" s="14"/>
      <c r="C30" s="14" t="s">
        <v>7</v>
      </c>
      <c r="D30" s="14"/>
    </row>
    <row r="31" spans="1:21">
      <c r="A31" s="11" t="s">
        <v>5</v>
      </c>
      <c r="B31" s="11"/>
      <c r="C31" s="11" t="s">
        <v>15</v>
      </c>
      <c r="D31" s="11"/>
      <c r="F31" s="1" t="s">
        <v>13</v>
      </c>
    </row>
    <row r="32" spans="1:21">
      <c r="A32" s="11" t="s">
        <v>6</v>
      </c>
      <c r="B32" s="11"/>
      <c r="C32" s="11" t="s">
        <v>9</v>
      </c>
      <c r="D32" s="11"/>
    </row>
    <row r="33" spans="1:4">
      <c r="A33" s="11" t="s">
        <v>10</v>
      </c>
      <c r="B33" s="11"/>
      <c r="C33" s="11" t="s">
        <v>14</v>
      </c>
      <c r="D33" s="11"/>
    </row>
  </sheetData>
  <mergeCells count="27">
    <mergeCell ref="Q20:S20"/>
    <mergeCell ref="T20:U20"/>
    <mergeCell ref="B20:D20"/>
    <mergeCell ref="E20:G20"/>
    <mergeCell ref="H20:J20"/>
    <mergeCell ref="K20:M20"/>
    <mergeCell ref="N20:P20"/>
    <mergeCell ref="A15:B15"/>
    <mergeCell ref="C15:D15"/>
    <mergeCell ref="B3:D3"/>
    <mergeCell ref="E3:G3"/>
    <mergeCell ref="A31:B31"/>
    <mergeCell ref="A30:B30"/>
    <mergeCell ref="C30:D30"/>
    <mergeCell ref="C31:D31"/>
    <mergeCell ref="T3:U3"/>
    <mergeCell ref="A13:B13"/>
    <mergeCell ref="C13:D13"/>
    <mergeCell ref="A14:B14"/>
    <mergeCell ref="C14:D14"/>
    <mergeCell ref="I3:P3"/>
    <mergeCell ref="C32:D32"/>
    <mergeCell ref="C33:D33"/>
    <mergeCell ref="A16:B16"/>
    <mergeCell ref="C16:D16"/>
    <mergeCell ref="A32:B32"/>
    <mergeCell ref="A33:B33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Marks</dc:creator>
  <cp:lastModifiedBy>CHEN, Xi</cp:lastModifiedBy>
  <dcterms:created xsi:type="dcterms:W3CDTF">2015-06-05T18:19:34Z</dcterms:created>
  <dcterms:modified xsi:type="dcterms:W3CDTF">2025-09-14T07:16:06Z</dcterms:modified>
</cp:coreProperties>
</file>
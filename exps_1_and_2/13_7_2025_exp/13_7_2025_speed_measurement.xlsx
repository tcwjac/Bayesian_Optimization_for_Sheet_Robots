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xchenim\Documents\GitHub\Bayesian_Optimization_for_Sheet_Robots\13_7_2025_exp\"/>
    </mc:Choice>
  </mc:AlternateContent>
  <xr:revisionPtr revIDLastSave="0" documentId="13_ncr:1_{A38F0D4F-5BB7-441A-8D7B-DC851CDA84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0" i="12" l="1"/>
  <c r="U41" i="12"/>
  <c r="U42" i="12"/>
  <c r="U43" i="12"/>
  <c r="T40" i="12"/>
  <c r="T41" i="12"/>
  <c r="T42" i="12"/>
  <c r="T43" i="12"/>
  <c r="T44" i="12"/>
  <c r="U45" i="12"/>
  <c r="T45" i="12"/>
  <c r="U44" i="12"/>
  <c r="U39" i="12"/>
  <c r="T39" i="12"/>
  <c r="U38" i="12"/>
  <c r="T38" i="12"/>
  <c r="U37" i="12"/>
  <c r="T37" i="12"/>
  <c r="U28" i="12"/>
  <c r="T28" i="12"/>
  <c r="U27" i="12"/>
  <c r="T27" i="12"/>
  <c r="U26" i="12"/>
  <c r="T26" i="12"/>
  <c r="U25" i="12"/>
  <c r="T25" i="12"/>
  <c r="U24" i="12"/>
  <c r="T24" i="12"/>
  <c r="U23" i="12"/>
  <c r="T23" i="12"/>
  <c r="U22" i="12"/>
  <c r="T22" i="12"/>
  <c r="T11" i="12"/>
  <c r="U11" i="12"/>
  <c r="T8" i="12"/>
  <c r="U9" i="12"/>
  <c r="T9" i="12"/>
  <c r="U13" i="12"/>
  <c r="T13" i="12"/>
  <c r="U12" i="12"/>
  <c r="T12" i="12"/>
  <c r="U10" i="12"/>
  <c r="T10" i="12"/>
  <c r="U8" i="12"/>
  <c r="U7" i="12"/>
  <c r="T7" i="12"/>
  <c r="U6" i="12"/>
  <c r="T6" i="12"/>
  <c r="U5" i="12"/>
  <c r="T5" i="12"/>
  <c r="U4" i="12"/>
  <c r="T4" i="12"/>
</calcChain>
</file>

<file path=xl/sharedStrings.xml><?xml version="1.0" encoding="utf-8"?>
<sst xmlns="http://schemas.openxmlformats.org/spreadsheetml/2006/main" count="74" uniqueCount="29">
  <si>
    <t>PDMS(1:1)</t>
    <phoneticPr fontId="1" type="noConversion"/>
  </si>
  <si>
    <t>Average</t>
    <phoneticPr fontId="1" type="noConversion"/>
  </si>
  <si>
    <t>width/mm</t>
    <phoneticPr fontId="1" type="noConversion"/>
  </si>
  <si>
    <t>forward speed (sample 1)</t>
    <phoneticPr fontId="1" type="noConversion"/>
  </si>
  <si>
    <t>backward speed (sample 1)</t>
    <phoneticPr fontId="1" type="noConversion"/>
  </si>
  <si>
    <t>forward speed (sample 2)</t>
    <phoneticPr fontId="1" type="noConversion"/>
  </si>
  <si>
    <t>backward speed (sample 2)</t>
    <phoneticPr fontId="1" type="noConversion"/>
  </si>
  <si>
    <t>sheet-shape</t>
    <phoneticPr fontId="1" type="noConversion"/>
  </si>
  <si>
    <t>磁化</t>
    <phoneticPr fontId="1" type="noConversion"/>
  </si>
  <si>
    <t>50mT</t>
    <phoneticPr fontId="1" type="noConversion"/>
  </si>
  <si>
    <t>std</t>
    <phoneticPr fontId="1" type="noConversion"/>
  </si>
  <si>
    <t>初始0°，1个周期</t>
    <phoneticPr fontId="1" type="noConversion"/>
  </si>
  <si>
    <t>Frequency</t>
    <phoneticPr fontId="1" type="noConversion"/>
  </si>
  <si>
    <t>Halbach Array</t>
    <phoneticPr fontId="1" type="noConversion"/>
  </si>
  <si>
    <t>3Hz (180r/min)</t>
    <phoneticPr fontId="1" type="noConversion"/>
  </si>
  <si>
    <t>8.5x3.86x0.17</t>
    <phoneticPr fontId="1" type="noConversion"/>
  </si>
  <si>
    <t>这里的运动不是undulate</t>
    <phoneticPr fontId="1" type="noConversion"/>
  </si>
  <si>
    <t>8.9x3x0.17</t>
    <phoneticPr fontId="1" type="noConversion"/>
  </si>
  <si>
    <t>Ecoflex(1:1)</t>
    <phoneticPr fontId="1" type="noConversion"/>
  </si>
  <si>
    <t>Halbach array</t>
    <phoneticPr fontId="1" type="noConversion"/>
  </si>
  <si>
    <t>8.75x3.9x0.25</t>
    <phoneticPr fontId="1" type="noConversion"/>
  </si>
  <si>
    <t>fail</t>
    <phoneticPr fontId="1" type="noConversion"/>
  </si>
  <si>
    <t>column_A</t>
  </si>
  <si>
    <t>column_C</t>
  </si>
  <si>
    <t>column_T</t>
  </si>
  <si>
    <t>column_U</t>
  </si>
  <si>
    <t>3Hz (180r/min)</t>
  </si>
  <si>
    <t>磁化</t>
  </si>
  <si>
    <t>初始0°，1个周期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</si>
</sst>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PDMS</a:t>
            </a:r>
            <a:endParaRPr lang="zh-CN" altLang="en-US"/>
          </a:p>
        </c:rich>
      </c:tx>
      <c:layout>
        <c:manualLayout>
          <c:xMode val="edge"/>
          <c:yMode val="edge"/>
          <c:x val="0.42541270534008258"/>
          <c:y val="2.1799446465708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Sheet1!$U$4:$U$13</c:f>
                <c:numCache>
                  <c:formatCode>General</c:formatCode>
                  <c:ptCount val="10"/>
                  <c:pt idx="0">
                    <c:v>4.8768593581206755E-2</c:v>
                  </c:pt>
                  <c:pt idx="1">
                    <c:v>0.12077401488133052</c:v>
                  </c:pt>
                  <c:pt idx="2">
                    <c:v>9.9842062561188244E-2</c:v>
                  </c:pt>
                  <c:pt idx="3">
                    <c:v>0.35470101148458438</c:v>
                  </c:pt>
                  <c:pt idx="4">
                    <c:v>0.56586938614546023</c:v>
                  </c:pt>
                  <c:pt idx="5">
                    <c:v>0.69879851590432462</c:v>
                  </c:pt>
                  <c:pt idx="6">
                    <c:v>0.63034561694839231</c:v>
                  </c:pt>
                  <c:pt idx="7">
                    <c:v>0.88931519092495459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Sheet1!$U$4:$U$13</c:f>
                <c:numCache>
                  <c:formatCode>General</c:formatCode>
                  <c:ptCount val="10"/>
                  <c:pt idx="0">
                    <c:v>4.8768593581206755E-2</c:v>
                  </c:pt>
                  <c:pt idx="1">
                    <c:v>0.12077401488133052</c:v>
                  </c:pt>
                  <c:pt idx="2">
                    <c:v>9.9842062561188244E-2</c:v>
                  </c:pt>
                  <c:pt idx="3">
                    <c:v>0.35470101148458438</c:v>
                  </c:pt>
                  <c:pt idx="4">
                    <c:v>0.56586938614546023</c:v>
                  </c:pt>
                  <c:pt idx="5">
                    <c:v>0.69879851590432462</c:v>
                  </c:pt>
                  <c:pt idx="6">
                    <c:v>0.63034561694839231</c:v>
                  </c:pt>
                  <c:pt idx="7">
                    <c:v>0.88931519092495459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Sheet1!$A$4:$A$13</c:f>
              <c:numCache>
                <c:formatCode>General</c:formatCode>
                <c:ptCount val="10"/>
                <c:pt idx="0">
                  <c:v>0.6</c:v>
                </c:pt>
                <c:pt idx="1">
                  <c:v>1</c:v>
                </c:pt>
                <c:pt idx="2">
                  <c:v>1.4</c:v>
                </c:pt>
                <c:pt idx="3">
                  <c:v>1.8</c:v>
                </c:pt>
                <c:pt idx="4">
                  <c:v>2.2000000000000002</c:v>
                </c:pt>
                <c:pt idx="5">
                  <c:v>2.6</c:v>
                </c:pt>
                <c:pt idx="6">
                  <c:v>3</c:v>
                </c:pt>
                <c:pt idx="7">
                  <c:v>3.4</c:v>
                </c:pt>
                <c:pt idx="8">
                  <c:v>3.8</c:v>
                </c:pt>
                <c:pt idx="9">
                  <c:v>4</c:v>
                </c:pt>
              </c:numCache>
            </c:numRef>
          </c:xVal>
          <c:yVal>
            <c:numRef>
              <c:f>Sheet1!$T$4:$T$13</c:f>
              <c:numCache>
                <c:formatCode>General</c:formatCode>
                <c:ptCount val="10"/>
                <c:pt idx="0">
                  <c:v>0.42319433333333328</c:v>
                </c:pt>
                <c:pt idx="1">
                  <c:v>1.0379253333333331</c:v>
                </c:pt>
                <c:pt idx="2">
                  <c:v>1.7063838333333334</c:v>
                </c:pt>
                <c:pt idx="3">
                  <c:v>2.1159282500000001</c:v>
                </c:pt>
                <c:pt idx="4">
                  <c:v>1.5259364</c:v>
                </c:pt>
                <c:pt idx="5">
                  <c:v>1.1207043571428572</c:v>
                </c:pt>
                <c:pt idx="6">
                  <c:v>1.1968736363636365</c:v>
                </c:pt>
                <c:pt idx="7">
                  <c:v>1.2818333333333334</c:v>
                </c:pt>
                <c:pt idx="8">
                  <c:v>0</c:v>
                </c:pt>
                <c:pt idx="9">
                  <c:v>1.6827000000000002E-2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B8-43A4-9AFD-2F672022D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210016"/>
        <c:axId val="727445648"/>
      </c:scatterChart>
      <c:valAx>
        <c:axId val="40421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Width</a:t>
                </a:r>
                <a:r>
                  <a:rPr lang="en-US" altLang="zh-CN" baseline="0"/>
                  <a:t> (mm)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7445648"/>
        <c:crosses val="autoZero"/>
        <c:crossBetween val="midCat"/>
      </c:valAx>
      <c:valAx>
        <c:axId val="7274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Velocity (mm/s)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21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PDMS2</a:t>
            </a:r>
            <a:endParaRPr lang="zh-CN" altLang="en-US"/>
          </a:p>
        </c:rich>
      </c:tx>
      <c:layout>
        <c:manualLayout>
          <c:xMode val="edge"/>
          <c:yMode val="edge"/>
          <c:x val="0.42541270534008258"/>
          <c:y val="2.1799446465708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Sheet1!$U$22:$U$28</c:f>
                <c:numCache>
                  <c:formatCode>General</c:formatCode>
                  <c:ptCount val="7"/>
                  <c:pt idx="0">
                    <c:v>3.0450140253166325E-2</c:v>
                  </c:pt>
                  <c:pt idx="1">
                    <c:v>0.10781475052310505</c:v>
                  </c:pt>
                  <c:pt idx="2">
                    <c:v>0.22213627725662433</c:v>
                  </c:pt>
                  <c:pt idx="3">
                    <c:v>0.35207633764568663</c:v>
                  </c:pt>
                  <c:pt idx="4">
                    <c:v>0.9225787705320585</c:v>
                  </c:pt>
                  <c:pt idx="5">
                    <c:v>0.74063318377914988</c:v>
                  </c:pt>
                  <c:pt idx="6">
                    <c:v>0.54922051658502036</c:v>
                  </c:pt>
                </c:numCache>
              </c:numRef>
            </c:plus>
            <c:minus>
              <c:numRef>
                <c:f>Sheet1!$U$22:$U$28</c:f>
                <c:numCache>
                  <c:formatCode>General</c:formatCode>
                  <c:ptCount val="7"/>
                  <c:pt idx="0">
                    <c:v>3.0450140253166325E-2</c:v>
                  </c:pt>
                  <c:pt idx="1">
                    <c:v>0.10781475052310505</c:v>
                  </c:pt>
                  <c:pt idx="2">
                    <c:v>0.22213627725662433</c:v>
                  </c:pt>
                  <c:pt idx="3">
                    <c:v>0.35207633764568663</c:v>
                  </c:pt>
                  <c:pt idx="4">
                    <c:v>0.9225787705320585</c:v>
                  </c:pt>
                  <c:pt idx="5">
                    <c:v>0.74063318377914988</c:v>
                  </c:pt>
                  <c:pt idx="6">
                    <c:v>0.54922051658502036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Sheet1!$A$22:$A$28</c:f>
              <c:numCache>
                <c:formatCode>General</c:formatCode>
                <c:ptCount val="7"/>
                <c:pt idx="0">
                  <c:v>0.6</c:v>
                </c:pt>
                <c:pt idx="1">
                  <c:v>1</c:v>
                </c:pt>
                <c:pt idx="2">
                  <c:v>1.4</c:v>
                </c:pt>
                <c:pt idx="3">
                  <c:v>1.8</c:v>
                </c:pt>
                <c:pt idx="4">
                  <c:v>2.2000000000000002</c:v>
                </c:pt>
                <c:pt idx="5">
                  <c:v>2.6</c:v>
                </c:pt>
                <c:pt idx="6">
                  <c:v>3</c:v>
                </c:pt>
              </c:numCache>
            </c:numRef>
          </c:xVal>
          <c:yVal>
            <c:numRef>
              <c:f>Sheet1!$T$22:$T$28</c:f>
              <c:numCache>
                <c:formatCode>General</c:formatCode>
                <c:ptCount val="7"/>
                <c:pt idx="0">
                  <c:v>0.44344824999999999</c:v>
                </c:pt>
                <c:pt idx="1">
                  <c:v>1.1362771249999999</c:v>
                </c:pt>
                <c:pt idx="2">
                  <c:v>1.7691691111111112</c:v>
                </c:pt>
                <c:pt idx="3">
                  <c:v>1.767841</c:v>
                </c:pt>
                <c:pt idx="4">
                  <c:v>1.5122716666666667</c:v>
                </c:pt>
                <c:pt idx="5">
                  <c:v>1.2282153999999998</c:v>
                </c:pt>
                <c:pt idx="6">
                  <c:v>1.0441994999999999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8-492B-A68F-E2F02AA2B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210016"/>
        <c:axId val="727445648"/>
      </c:scatterChart>
      <c:valAx>
        <c:axId val="40421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Width</a:t>
                </a:r>
                <a:r>
                  <a:rPr lang="en-US" altLang="zh-CN" baseline="0"/>
                  <a:t> (mm)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7445648"/>
        <c:crosses val="autoZero"/>
        <c:crossBetween val="midCat"/>
      </c:valAx>
      <c:valAx>
        <c:axId val="7274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Velocity (mm/s)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21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Ecoflex</a:t>
            </a:r>
            <a:endParaRPr lang="zh-CN" altLang="en-US"/>
          </a:p>
        </c:rich>
      </c:tx>
      <c:layout>
        <c:manualLayout>
          <c:xMode val="edge"/>
          <c:yMode val="edge"/>
          <c:x val="0.42541270534008258"/>
          <c:y val="2.1799446465708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Sheet1!$U$37:$U$45</c:f>
                <c:numCache>
                  <c:formatCode>General</c:formatCode>
                  <c:ptCount val="9"/>
                  <c:pt idx="0">
                    <c:v>2.3488612876442379E-2</c:v>
                  </c:pt>
                  <c:pt idx="1">
                    <c:v>9.4299097468424242E-2</c:v>
                  </c:pt>
                  <c:pt idx="2">
                    <c:v>0.2007354911338162</c:v>
                  </c:pt>
                  <c:pt idx="3">
                    <c:v>0.10943387509003891</c:v>
                  </c:pt>
                  <c:pt idx="4">
                    <c:v>0.29392203951420087</c:v>
                  </c:pt>
                  <c:pt idx="5">
                    <c:v>0.20985599999999982</c:v>
                  </c:pt>
                  <c:pt idx="6">
                    <c:v>0.28080799999999995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plus>
            <c:minus>
              <c:numRef>
                <c:f>Sheet1!$U$37:$U$45</c:f>
                <c:numCache>
                  <c:formatCode>General</c:formatCode>
                  <c:ptCount val="9"/>
                  <c:pt idx="0">
                    <c:v>2.3488612876442379E-2</c:v>
                  </c:pt>
                  <c:pt idx="1">
                    <c:v>9.4299097468424242E-2</c:v>
                  </c:pt>
                  <c:pt idx="2">
                    <c:v>0.2007354911338162</c:v>
                  </c:pt>
                  <c:pt idx="3">
                    <c:v>0.10943387509003891</c:v>
                  </c:pt>
                  <c:pt idx="4">
                    <c:v>0.29392203951420087</c:v>
                  </c:pt>
                  <c:pt idx="5">
                    <c:v>0.20985599999999982</c:v>
                  </c:pt>
                  <c:pt idx="6">
                    <c:v>0.28080799999999995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Sheet1!$A$37:$A$45</c:f>
              <c:numCache>
                <c:formatCode>General</c:formatCode>
                <c:ptCount val="9"/>
                <c:pt idx="0">
                  <c:v>0.6</c:v>
                </c:pt>
                <c:pt idx="1">
                  <c:v>1</c:v>
                </c:pt>
                <c:pt idx="2">
                  <c:v>1.4</c:v>
                </c:pt>
                <c:pt idx="3">
                  <c:v>1.6</c:v>
                </c:pt>
                <c:pt idx="4">
                  <c:v>1.7</c:v>
                </c:pt>
                <c:pt idx="5">
                  <c:v>1.8</c:v>
                </c:pt>
                <c:pt idx="6">
                  <c:v>1.9</c:v>
                </c:pt>
                <c:pt idx="7">
                  <c:v>2</c:v>
                </c:pt>
                <c:pt idx="8">
                  <c:v>2.2000000000000002</c:v>
                </c:pt>
              </c:numCache>
            </c:numRef>
          </c:xVal>
          <c:yVal>
            <c:numRef>
              <c:f>Sheet1!$T$37:$T$45</c:f>
              <c:numCache>
                <c:formatCode>General</c:formatCode>
                <c:ptCount val="9"/>
                <c:pt idx="0">
                  <c:v>0.51283887500000003</c:v>
                </c:pt>
                <c:pt idx="1">
                  <c:v>1.3917971250000001</c:v>
                </c:pt>
                <c:pt idx="2">
                  <c:v>2.6427443750000004</c:v>
                </c:pt>
                <c:pt idx="3">
                  <c:v>3.6246506666666662</c:v>
                </c:pt>
                <c:pt idx="4">
                  <c:v>3.6079457500000003</c:v>
                </c:pt>
                <c:pt idx="5">
                  <c:v>4.2765590000000007</c:v>
                </c:pt>
                <c:pt idx="6">
                  <c:v>3.341888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14-4EEF-9643-B717DE475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210016"/>
        <c:axId val="727445648"/>
      </c:scatterChart>
      <c:valAx>
        <c:axId val="40421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Width</a:t>
                </a:r>
                <a:r>
                  <a:rPr lang="en-US" altLang="zh-CN" baseline="0"/>
                  <a:t> (mm)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7445648"/>
        <c:crosses val="autoZero"/>
        <c:crossBetween val="midCat"/>
      </c:valAx>
      <c:valAx>
        <c:axId val="7274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Velocity (mm/s)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21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53055</xdr:colOff>
      <xdr:row>0</xdr:row>
      <xdr:rowOff>115454</xdr:rowOff>
    </xdr:from>
    <xdr:to>
      <xdr:col>30</xdr:col>
      <xdr:colOff>356040</xdr:colOff>
      <xdr:row>16</xdr:row>
      <xdr:rowOff>128690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CBD032-ED48-DD69-7312-0A17CDFE1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18</xdr:row>
      <xdr:rowOff>34636</xdr:rowOff>
    </xdr:from>
    <xdr:to>
      <xdr:col>30</xdr:col>
      <xdr:colOff>298222</xdr:colOff>
      <xdr:row>36</xdr:row>
      <xdr:rowOff>21607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0B4A2F9-34DE-4CE2-AD38-3B53761F8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519545</xdr:colOff>
      <xdr:row>37</xdr:row>
      <xdr:rowOff>103910</xdr:rowOff>
    </xdr:from>
    <xdr:to>
      <xdr:col>30</xdr:col>
      <xdr:colOff>159676</xdr:colOff>
      <xdr:row>53</xdr:row>
      <xdr:rowOff>137062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876BD55-348A-4A73-B5AF-D2D65EEF5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B593-54F3-457E-80C6-47D23339B304}">
  <dimension ref="A1:Y49"/>
  <sheetViews>
    <sheetView tabSelected="1" topLeftCell="A30" zoomScale="80" zoomScaleNormal="80" workbookViewId="0">
      <selection activeCell="V40" sqref="V40"/>
    </sheetView>
  </sheetViews>
  <sheetFormatPr defaultRowHeight="14.4"/>
  <cols>
    <col min="1" max="1" width="11.5546875" bestFit="1" customWidth="1"/>
  </cols>
  <sheetData>
    <row r="1" spans="1:25" ht="15" thickBot="1">
      <c r="A1" t="s">
        <v>22</v>
      </c>
      <c r="C1" t="s">
        <v>23</v>
      </c>
      <c r="T1" t="s">
        <v>24</v>
      </c>
      <c r="U1" t="s">
        <v>25</v>
      </c>
    </row>
    <row r="2" spans="1:25" ht="15" thickTop="1">
      <c r="A2" s="4" t="s">
        <v>0</v>
      </c>
      <c r="B2" s="25" t="s">
        <v>3</v>
      </c>
      <c r="C2" s="25"/>
      <c r="D2" s="25"/>
      <c r="E2" s="25" t="s">
        <v>4</v>
      </c>
      <c r="F2" s="25"/>
      <c r="G2" s="25"/>
      <c r="H2" s="25" t="s">
        <v>5</v>
      </c>
      <c r="I2" s="25"/>
      <c r="J2" s="25"/>
      <c r="K2" s="25" t="s">
        <v>6</v>
      </c>
      <c r="L2" s="25"/>
      <c r="M2" s="25"/>
      <c r="N2" s="25"/>
      <c r="O2" s="25"/>
      <c r="P2" s="25"/>
      <c r="Q2" s="25"/>
      <c r="R2" s="25"/>
      <c r="S2" s="25"/>
      <c r="T2" s="26" t="s">
        <v>1</v>
      </c>
      <c r="U2" s="27"/>
      <c r="V2" s="27"/>
      <c r="W2" s="27"/>
      <c r="X2" s="27"/>
      <c r="Y2" s="27"/>
    </row>
    <row r="3" spans="1:25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2" t="s">
        <v>1</v>
      </c>
      <c r="U3" s="2" t="s">
        <v>10</v>
      </c>
      <c r="V3" s="2"/>
      <c r="W3" s="1"/>
      <c r="X3" s="8"/>
      <c r="Y3" s="1"/>
    </row>
    <row r="4" spans="1:25">
      <c r="A4" s="15">
        <v>0.6</v>
      </c>
      <c r="B4" s="16">
        <v>0.36144300000000001</v>
      </c>
      <c r="C4" s="17">
        <v>0.38886100000000001</v>
      </c>
      <c r="D4" s="17"/>
      <c r="E4" s="17">
        <v>0.41358400000000001</v>
      </c>
      <c r="F4" s="17">
        <v>0.41207899999999997</v>
      </c>
      <c r="G4" s="17"/>
      <c r="H4" s="16">
        <v>0.448133</v>
      </c>
      <c r="I4" s="17"/>
      <c r="J4" s="17"/>
      <c r="K4" s="17">
        <v>0.51506600000000002</v>
      </c>
      <c r="L4" s="17"/>
      <c r="M4" s="17"/>
      <c r="N4" s="16"/>
      <c r="O4" s="17"/>
      <c r="P4" s="17"/>
      <c r="Q4" s="17"/>
      <c r="R4" s="17"/>
      <c r="S4" s="18"/>
      <c r="T4" s="17">
        <f t="shared" ref="T4:T7" si="0">AVERAGE(B4:R4)</f>
        <v>0.42319433333333328</v>
      </c>
      <c r="U4" s="17">
        <f t="shared" ref="U4:U10" si="1">_xlfn.STDEV.P(B4:R4)</f>
        <v>4.8768593581206755E-2</v>
      </c>
      <c r="V4" s="2"/>
      <c r="W4" s="1"/>
      <c r="X4" s="2"/>
      <c r="Y4" s="1"/>
    </row>
    <row r="5" spans="1:25">
      <c r="A5" s="15">
        <v>1</v>
      </c>
      <c r="B5" s="17">
        <v>0.90995599999999999</v>
      </c>
      <c r="C5" s="17">
        <v>0.89397499999999996</v>
      </c>
      <c r="D5" s="17"/>
      <c r="E5" s="17">
        <v>1.037577</v>
      </c>
      <c r="F5" s="17">
        <v>1.0792040000000001</v>
      </c>
      <c r="G5" s="17"/>
      <c r="H5" s="17">
        <v>1.258392</v>
      </c>
      <c r="I5" s="17"/>
      <c r="J5" s="17"/>
      <c r="K5" s="17">
        <v>1.048448</v>
      </c>
      <c r="L5" s="17"/>
      <c r="M5" s="17"/>
      <c r="N5" s="17"/>
      <c r="O5" s="17"/>
      <c r="P5" s="17"/>
      <c r="Q5" s="17"/>
      <c r="R5" s="17"/>
      <c r="S5" s="18"/>
      <c r="T5" s="17">
        <f t="shared" si="0"/>
        <v>1.0379253333333331</v>
      </c>
      <c r="U5" s="17">
        <f t="shared" si="1"/>
        <v>0.12077401488133052</v>
      </c>
      <c r="V5" s="2"/>
      <c r="W5" s="1"/>
      <c r="X5" s="2"/>
      <c r="Y5" s="1"/>
    </row>
    <row r="6" spans="1:25">
      <c r="A6" s="15">
        <v>1.4</v>
      </c>
      <c r="B6" s="17">
        <v>1.697959</v>
      </c>
      <c r="C6" s="17">
        <v>1.6265959999999999</v>
      </c>
      <c r="D6" s="17"/>
      <c r="E6" s="17">
        <v>1.810149</v>
      </c>
      <c r="F6" s="17">
        <v>1.7303630000000001</v>
      </c>
      <c r="G6" s="17"/>
      <c r="H6" s="17">
        <v>1.8302320000000001</v>
      </c>
      <c r="I6" s="17"/>
      <c r="J6" s="17"/>
      <c r="K6" s="17">
        <v>1.543004</v>
      </c>
      <c r="L6" s="17"/>
      <c r="M6" s="17"/>
      <c r="N6" s="17"/>
      <c r="O6" s="17"/>
      <c r="P6" s="17"/>
      <c r="Q6" s="17"/>
      <c r="R6" s="17"/>
      <c r="S6" s="18"/>
      <c r="T6" s="17">
        <f t="shared" si="0"/>
        <v>1.7063838333333334</v>
      </c>
      <c r="U6" s="17">
        <f t="shared" si="1"/>
        <v>9.9842062561188244E-2</v>
      </c>
      <c r="V6" s="2"/>
      <c r="W6" s="1"/>
      <c r="X6" s="2"/>
    </row>
    <row r="7" spans="1:25">
      <c r="A7" s="15">
        <v>1.8</v>
      </c>
      <c r="B7" s="17">
        <v>1.810826</v>
      </c>
      <c r="C7" s="17">
        <v>1.8731690000000001</v>
      </c>
      <c r="D7" s="17"/>
      <c r="E7" s="17">
        <v>1.9870859999999999</v>
      </c>
      <c r="F7" s="17">
        <v>2.0294140000000001</v>
      </c>
      <c r="G7" s="17"/>
      <c r="H7" s="17">
        <v>1.884946</v>
      </c>
      <c r="I7" s="17">
        <v>1.90126</v>
      </c>
      <c r="J7" s="17"/>
      <c r="K7" s="17">
        <v>2.7322199999999999</v>
      </c>
      <c r="L7" s="17">
        <v>2.7085050000000002</v>
      </c>
      <c r="M7" s="17"/>
      <c r="N7" s="17"/>
      <c r="O7" s="17"/>
      <c r="P7" s="17"/>
      <c r="Q7" s="17"/>
      <c r="R7" s="17"/>
      <c r="S7" s="18"/>
      <c r="T7" s="17">
        <f t="shared" si="0"/>
        <v>2.1159282500000001</v>
      </c>
      <c r="U7" s="17">
        <f t="shared" si="1"/>
        <v>0.35470101148458438</v>
      </c>
      <c r="V7" s="2"/>
      <c r="W7" s="1"/>
      <c r="X7" s="2"/>
    </row>
    <row r="8" spans="1:25">
      <c r="A8" s="15">
        <v>2.2000000000000002</v>
      </c>
      <c r="B8" s="17">
        <v>1.194782</v>
      </c>
      <c r="C8" s="17">
        <v>1.5557240000000001</v>
      </c>
      <c r="D8" s="17">
        <v>1.4040859999999999</v>
      </c>
      <c r="E8" s="17">
        <v>1.064516</v>
      </c>
      <c r="F8" s="17">
        <v>0.71603499999999998</v>
      </c>
      <c r="G8" s="17"/>
      <c r="H8" s="17">
        <v>1.403923</v>
      </c>
      <c r="I8" s="17">
        <v>1.5593429999999999</v>
      </c>
      <c r="J8" s="17">
        <v>1.318141</v>
      </c>
      <c r="K8" s="17">
        <v>2.810136</v>
      </c>
      <c r="L8" s="17">
        <v>2.2326779999999999</v>
      </c>
      <c r="M8" s="17"/>
      <c r="N8" s="17"/>
      <c r="O8" s="17"/>
      <c r="P8" s="17"/>
      <c r="Q8" s="17"/>
      <c r="R8" s="17"/>
      <c r="S8" s="18"/>
      <c r="T8" s="17">
        <f>AVERAGE(B8:R8)</f>
        <v>1.5259364</v>
      </c>
      <c r="U8" s="17">
        <f t="shared" si="1"/>
        <v>0.56586938614546023</v>
      </c>
      <c r="V8" s="2"/>
      <c r="W8" s="1"/>
      <c r="X8" s="2"/>
    </row>
    <row r="9" spans="1:25">
      <c r="A9" s="15">
        <v>2.6</v>
      </c>
      <c r="B9" s="17">
        <v>0.39238699999999999</v>
      </c>
      <c r="C9" s="17">
        <v>0.53224099999999996</v>
      </c>
      <c r="D9" s="17"/>
      <c r="E9" s="17">
        <v>0.254417</v>
      </c>
      <c r="F9" s="17">
        <v>0.35689399999999999</v>
      </c>
      <c r="G9" s="17"/>
      <c r="H9" s="17">
        <v>1.12869</v>
      </c>
      <c r="I9" s="17">
        <v>1.0737449999999999</v>
      </c>
      <c r="J9" s="17">
        <v>1.0841689999999999</v>
      </c>
      <c r="K9" s="17">
        <v>1.060648</v>
      </c>
      <c r="L9" s="17">
        <v>0.87711600000000001</v>
      </c>
      <c r="M9" s="17">
        <v>1.1080369999999999</v>
      </c>
      <c r="N9" s="17">
        <v>1.2491559999999999</v>
      </c>
      <c r="O9" s="17">
        <v>1.3692439999999999</v>
      </c>
      <c r="P9" s="17">
        <v>2.8195489999999999</v>
      </c>
      <c r="Q9" s="17">
        <v>2.3835679999999999</v>
      </c>
      <c r="R9" s="17"/>
      <c r="S9" s="18"/>
      <c r="T9" s="17">
        <f>AVERAGE(B9:R9)</f>
        <v>1.1207043571428572</v>
      </c>
      <c r="U9" s="17">
        <f>_xlfn.STDEV.P(B9:R9)</f>
        <v>0.69879851590432462</v>
      </c>
      <c r="V9" s="2"/>
      <c r="W9" s="1"/>
      <c r="X9" s="2"/>
    </row>
    <row r="10" spans="1:25">
      <c r="A10" s="15">
        <v>3</v>
      </c>
      <c r="B10" s="19">
        <v>0.34569299999999997</v>
      </c>
      <c r="C10" s="19"/>
      <c r="D10" s="19"/>
      <c r="E10" s="19">
        <v>0.140458</v>
      </c>
      <c r="F10" s="19"/>
      <c r="G10" s="19"/>
      <c r="H10" s="19">
        <v>1.071426</v>
      </c>
      <c r="I10" s="19">
        <v>0.61826099999999995</v>
      </c>
      <c r="J10" s="19"/>
      <c r="K10" s="19">
        <v>2.2715139999999998</v>
      </c>
      <c r="L10" s="19">
        <v>1.519514</v>
      </c>
      <c r="M10" s="19">
        <v>1.339461</v>
      </c>
      <c r="N10" s="19">
        <v>1.0624439999999999</v>
      </c>
      <c r="O10" s="19">
        <v>1.1632020000000001</v>
      </c>
      <c r="P10" s="19">
        <v>2.0539800000000001</v>
      </c>
      <c r="Q10" s="19">
        <v>1.5796570000000001</v>
      </c>
      <c r="R10" s="19"/>
      <c r="S10" s="18"/>
      <c r="T10" s="17">
        <f>AVERAGE(B10:R10)</f>
        <v>1.1968736363636365</v>
      </c>
      <c r="U10" s="17">
        <f t="shared" si="1"/>
        <v>0.63034561694839231</v>
      </c>
      <c r="V10" s="2"/>
      <c r="W10" s="1"/>
      <c r="X10" s="2"/>
      <c r="Y10" s="1"/>
    </row>
    <row r="11" spans="1:25">
      <c r="A11" s="5">
        <v>3.4</v>
      </c>
      <c r="B11" s="2"/>
      <c r="C11" s="2"/>
      <c r="D11" s="2"/>
      <c r="E11" s="2"/>
      <c r="F11" s="8"/>
      <c r="G11" s="8"/>
      <c r="H11" s="2">
        <v>1.843213</v>
      </c>
      <c r="I11" s="2">
        <v>2.421011</v>
      </c>
      <c r="J11" s="2"/>
      <c r="K11" s="2">
        <v>1.7988090000000001</v>
      </c>
      <c r="L11" s="8">
        <v>0.107443</v>
      </c>
      <c r="M11" s="8"/>
      <c r="N11" s="10">
        <v>7.4009000000000005E-2</v>
      </c>
      <c r="O11" s="11"/>
      <c r="P11" s="11">
        <v>1.446515</v>
      </c>
      <c r="Q11" s="11"/>
      <c r="R11" s="12"/>
      <c r="S11" s="1"/>
      <c r="T11" s="2">
        <f>AVERAGE(B11:R11)</f>
        <v>1.2818333333333334</v>
      </c>
      <c r="U11" s="2">
        <f>_xlfn.STDEV.P(B11:R11)</f>
        <v>0.88931519092495459</v>
      </c>
      <c r="V11" s="10" t="s">
        <v>16</v>
      </c>
      <c r="W11" s="1"/>
      <c r="X11" s="2"/>
      <c r="Y11" s="1"/>
    </row>
    <row r="12" spans="1:25">
      <c r="A12" s="5">
        <v>3.8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"/>
      <c r="T12" s="2" t="e">
        <f t="shared" ref="T12:T13" si="2">AVERAGE(B12:R12)</f>
        <v>#DIV/0!</v>
      </c>
      <c r="U12" s="2" t="e">
        <f t="shared" ref="U12:U13" si="3">_xlfn.STDEV.P(B12:R12)</f>
        <v>#DIV/0!</v>
      </c>
      <c r="V12" s="2"/>
      <c r="W12" s="1"/>
      <c r="X12" s="2"/>
      <c r="Y12" s="1"/>
    </row>
    <row r="13" spans="1:25" ht="15" thickBot="1">
      <c r="A13" s="6">
        <v>4</v>
      </c>
      <c r="B13" s="9"/>
      <c r="C13" s="9"/>
      <c r="D13" s="9"/>
      <c r="E13" s="9"/>
      <c r="F13" s="9"/>
      <c r="G13" s="9"/>
      <c r="H13" s="9">
        <v>1.6827000000000002E-2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1"/>
      <c r="T13" s="2">
        <f t="shared" si="2"/>
        <v>1.6827000000000002E-2</v>
      </c>
      <c r="U13" s="2">
        <f t="shared" si="3"/>
        <v>0</v>
      </c>
      <c r="V13" s="7"/>
      <c r="W13" s="1"/>
      <c r="X13" s="7"/>
      <c r="Y13" s="1"/>
    </row>
    <row r="14" spans="1:25" ht="15" thickTop="1">
      <c r="A14" s="24" t="s">
        <v>13</v>
      </c>
      <c r="B14" s="24"/>
      <c r="C14" s="24" t="s">
        <v>9</v>
      </c>
      <c r="D14" s="2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S14" s="1"/>
      <c r="T14" s="1"/>
      <c r="U14" s="1"/>
      <c r="V14" s="1"/>
      <c r="W14" s="1"/>
      <c r="X14" s="1"/>
      <c r="Y14" s="1"/>
    </row>
    <row r="15" spans="1:25">
      <c r="A15" s="21" t="s">
        <v>7</v>
      </c>
      <c r="B15" s="21"/>
      <c r="C15" s="21" t="s">
        <v>15</v>
      </c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1"/>
      <c r="T15" s="1"/>
      <c r="U15" s="1"/>
      <c r="V15" s="1"/>
      <c r="W15" s="1"/>
      <c r="X15" s="1"/>
      <c r="Y15" s="1"/>
    </row>
    <row r="16" spans="1:25">
      <c r="A16" s="21" t="s">
        <v>27</v>
      </c>
      <c r="B16" s="21"/>
      <c r="C16" s="21" t="s">
        <v>28</v>
      </c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S16" s="1"/>
      <c r="T16" s="1"/>
      <c r="U16" s="1"/>
      <c r="V16" s="1"/>
      <c r="W16" s="1"/>
      <c r="X16" s="1"/>
      <c r="Y16" s="1"/>
    </row>
    <row r="17" spans="1:25">
      <c r="A17" s="21" t="s">
        <v>12</v>
      </c>
      <c r="B17" s="21"/>
      <c r="C17" s="21" t="s">
        <v>14</v>
      </c>
      <c r="D17" s="21"/>
    </row>
    <row r="19" spans="1:25" ht="15" thickBot="1"/>
    <row r="20" spans="1:25" ht="15" thickTop="1">
      <c r="A20" s="4" t="s">
        <v>0</v>
      </c>
      <c r="B20" s="25" t="s">
        <v>3</v>
      </c>
      <c r="C20" s="25"/>
      <c r="D20" s="25"/>
      <c r="E20" s="25" t="s">
        <v>4</v>
      </c>
      <c r="F20" s="25"/>
      <c r="G20" s="25"/>
      <c r="H20" s="25" t="s">
        <v>5</v>
      </c>
      <c r="I20" s="25"/>
      <c r="J20" s="25"/>
      <c r="K20" s="25" t="s">
        <v>6</v>
      </c>
      <c r="L20" s="25"/>
      <c r="M20" s="25"/>
      <c r="N20" s="25"/>
      <c r="O20" s="25"/>
      <c r="P20" s="25"/>
      <c r="Q20" s="25"/>
      <c r="R20" s="25"/>
      <c r="S20" s="25"/>
      <c r="T20" s="22" t="s">
        <v>1</v>
      </c>
      <c r="U20" s="23"/>
      <c r="V20" s="13"/>
      <c r="W20" s="13"/>
      <c r="X20" s="13"/>
      <c r="Y20" s="13"/>
    </row>
    <row r="21" spans="1:25">
      <c r="A21" s="5" t="s">
        <v>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"/>
      <c r="T21" s="2" t="s">
        <v>1</v>
      </c>
      <c r="U21" s="14" t="s">
        <v>10</v>
      </c>
      <c r="V21" s="3"/>
      <c r="W21" s="1"/>
      <c r="X21" s="1"/>
      <c r="Y21" s="1"/>
    </row>
    <row r="22" spans="1:25">
      <c r="A22" s="15">
        <v>0.6</v>
      </c>
      <c r="B22" s="16">
        <v>0.39238899999999999</v>
      </c>
      <c r="C22" s="17">
        <v>0.39072200000000001</v>
      </c>
      <c r="D22" s="17"/>
      <c r="E22" s="17">
        <v>0.46605600000000003</v>
      </c>
      <c r="F22" s="17">
        <v>0.45238400000000001</v>
      </c>
      <c r="G22" s="17"/>
      <c r="H22" s="16">
        <v>0.46741899999999997</v>
      </c>
      <c r="I22" s="17">
        <v>0.467198</v>
      </c>
      <c r="J22" s="17"/>
      <c r="K22" s="17">
        <v>0.45611299999999999</v>
      </c>
      <c r="L22" s="17">
        <v>0.45530500000000002</v>
      </c>
      <c r="M22" s="17"/>
      <c r="N22" s="16"/>
      <c r="O22" s="17"/>
      <c r="P22" s="17"/>
      <c r="Q22" s="17"/>
      <c r="R22" s="17"/>
      <c r="S22" s="18"/>
      <c r="T22" s="17">
        <f t="shared" ref="T22:T25" si="4">AVERAGE(B22:R22)</f>
        <v>0.44344824999999999</v>
      </c>
      <c r="U22" s="20">
        <f t="shared" ref="U22:U26" si="5">_xlfn.STDEV.P(B22:R22)</f>
        <v>3.0450140253166325E-2</v>
      </c>
      <c r="V22" s="3"/>
      <c r="X22" s="3"/>
      <c r="Y22" s="1"/>
    </row>
    <row r="23" spans="1:25">
      <c r="A23" s="15">
        <v>1</v>
      </c>
      <c r="B23" s="17">
        <v>1.110117</v>
      </c>
      <c r="C23" s="17">
        <v>1.109002</v>
      </c>
      <c r="D23" s="17"/>
      <c r="E23" s="17">
        <v>0.97058699999999998</v>
      </c>
      <c r="F23" s="17">
        <v>1.043701</v>
      </c>
      <c r="G23" s="17"/>
      <c r="H23" s="17">
        <v>1.288419</v>
      </c>
      <c r="I23" s="17">
        <v>1.3153600000000001</v>
      </c>
      <c r="J23" s="17"/>
      <c r="K23" s="17">
        <v>1.1346369999999999</v>
      </c>
      <c r="L23" s="17">
        <v>1.1183940000000001</v>
      </c>
      <c r="M23" s="17"/>
      <c r="N23" s="17"/>
      <c r="O23" s="17"/>
      <c r="P23" s="17"/>
      <c r="Q23" s="17"/>
      <c r="R23" s="17"/>
      <c r="S23" s="18"/>
      <c r="T23" s="17">
        <f t="shared" si="4"/>
        <v>1.1362771249999999</v>
      </c>
      <c r="U23" s="20">
        <f t="shared" si="5"/>
        <v>0.10781475052310505</v>
      </c>
      <c r="V23" s="3"/>
      <c r="X23" s="3"/>
    </row>
    <row r="24" spans="1:25">
      <c r="A24" s="15">
        <v>1.4</v>
      </c>
      <c r="B24" s="17">
        <v>1.6371389999999999</v>
      </c>
      <c r="C24" s="17">
        <v>1.716248</v>
      </c>
      <c r="D24" s="17"/>
      <c r="E24" s="17">
        <v>1.6994990000000001</v>
      </c>
      <c r="F24" s="17">
        <v>1.52759</v>
      </c>
      <c r="G24" s="17">
        <v>1.43028</v>
      </c>
      <c r="H24" s="17">
        <v>2.104644</v>
      </c>
      <c r="I24" s="17">
        <v>2.118252</v>
      </c>
      <c r="J24" s="17"/>
      <c r="K24" s="17">
        <v>1.8382810000000001</v>
      </c>
      <c r="L24" s="17">
        <v>1.850589</v>
      </c>
      <c r="M24" s="17"/>
      <c r="N24" s="17"/>
      <c r="O24" s="17"/>
      <c r="P24" s="17"/>
      <c r="Q24" s="17"/>
      <c r="R24" s="17"/>
      <c r="S24" s="18"/>
      <c r="T24" s="17">
        <f t="shared" si="4"/>
        <v>1.7691691111111112</v>
      </c>
      <c r="U24" s="20">
        <f t="shared" si="5"/>
        <v>0.22213627725662433</v>
      </c>
      <c r="V24" s="3"/>
      <c r="X24" s="3"/>
    </row>
    <row r="25" spans="1:25">
      <c r="A25" s="15">
        <v>1.8</v>
      </c>
      <c r="B25" s="17">
        <v>1.513509</v>
      </c>
      <c r="C25" s="17">
        <v>1.550116</v>
      </c>
      <c r="D25" s="17"/>
      <c r="E25" s="17">
        <v>1.452572</v>
      </c>
      <c r="F25" s="17">
        <v>1.246462</v>
      </c>
      <c r="G25" s="17"/>
      <c r="H25" s="17">
        <v>1.9432720000000001</v>
      </c>
      <c r="I25" s="17">
        <v>1.9640649999999999</v>
      </c>
      <c r="J25" s="17"/>
      <c r="K25" s="17">
        <v>2.2403149999999998</v>
      </c>
      <c r="L25" s="17">
        <v>2.2324169999999999</v>
      </c>
      <c r="M25" s="17"/>
      <c r="N25" s="17"/>
      <c r="O25" s="17"/>
      <c r="P25" s="17"/>
      <c r="Q25" s="17"/>
      <c r="R25" s="17"/>
      <c r="S25" s="18"/>
      <c r="T25" s="17">
        <f t="shared" si="4"/>
        <v>1.767841</v>
      </c>
      <c r="U25" s="20">
        <f t="shared" si="5"/>
        <v>0.35207633764568663</v>
      </c>
      <c r="V25" s="3"/>
      <c r="X25" s="3"/>
      <c r="Y25" s="1"/>
    </row>
    <row r="26" spans="1:25">
      <c r="A26" s="15">
        <v>2.2000000000000002</v>
      </c>
      <c r="B26" s="17">
        <v>0.88156100000000004</v>
      </c>
      <c r="C26" s="17">
        <v>1.3897569999999999</v>
      </c>
      <c r="D26" s="17">
        <v>0.90136099999999997</v>
      </c>
      <c r="E26" s="17">
        <v>0.19956199999999999</v>
      </c>
      <c r="F26" s="17">
        <v>0.325596</v>
      </c>
      <c r="G26" s="17"/>
      <c r="H26" s="17">
        <v>2.5310049999999999</v>
      </c>
      <c r="I26" s="17">
        <v>2.500483</v>
      </c>
      <c r="J26" s="17"/>
      <c r="K26" s="17">
        <v>2.4911720000000002</v>
      </c>
      <c r="L26" s="17">
        <v>2.389948</v>
      </c>
      <c r="M26" s="17"/>
      <c r="N26" s="17"/>
      <c r="O26" s="17"/>
      <c r="P26" s="17"/>
      <c r="Q26" s="17"/>
      <c r="R26" s="17"/>
      <c r="S26" s="18"/>
      <c r="T26" s="17">
        <f>AVERAGE(B26:R26)</f>
        <v>1.5122716666666667</v>
      </c>
      <c r="U26" s="20">
        <f t="shared" si="5"/>
        <v>0.9225787705320585</v>
      </c>
      <c r="V26" s="3"/>
      <c r="W26" s="1"/>
    </row>
    <row r="27" spans="1:25">
      <c r="A27" s="15">
        <v>2.6</v>
      </c>
      <c r="B27" s="17">
        <v>0.851549</v>
      </c>
      <c r="C27" s="17">
        <v>1.106339</v>
      </c>
      <c r="D27" s="17">
        <v>0.99947299999999994</v>
      </c>
      <c r="E27" s="17">
        <v>0.43304700000000002</v>
      </c>
      <c r="F27" s="17">
        <v>0.48449700000000001</v>
      </c>
      <c r="G27" s="17">
        <v>0.26027299999999998</v>
      </c>
      <c r="H27" s="17">
        <v>2.3705989999999999</v>
      </c>
      <c r="I27" s="17">
        <v>2.4214859999999998</v>
      </c>
      <c r="J27" s="17"/>
      <c r="K27" s="17">
        <v>1.5738890000000001</v>
      </c>
      <c r="L27" s="17">
        <v>1.781002</v>
      </c>
      <c r="M27" s="17"/>
      <c r="N27" s="17"/>
      <c r="O27" s="17"/>
      <c r="P27" s="17"/>
      <c r="Q27" s="17"/>
      <c r="R27" s="17"/>
      <c r="S27" s="18"/>
      <c r="T27" s="17">
        <f>AVERAGE(B27:R27)</f>
        <v>1.2282153999999998</v>
      </c>
      <c r="U27" s="20">
        <f>_xlfn.STDEV.P(B27:R27)</f>
        <v>0.74063318377914988</v>
      </c>
      <c r="V27" s="3"/>
      <c r="W27" s="1"/>
    </row>
    <row r="28" spans="1:25" ht="15" thickBot="1">
      <c r="A28" s="15">
        <v>3</v>
      </c>
      <c r="B28" s="19">
        <v>7.3540000000000003E-3</v>
      </c>
      <c r="C28" s="19"/>
      <c r="D28" s="19"/>
      <c r="E28" s="19">
        <v>1.3503179999999999</v>
      </c>
      <c r="F28" s="19"/>
      <c r="G28" s="19"/>
      <c r="H28" s="19">
        <v>1.487155</v>
      </c>
      <c r="I28" s="19">
        <v>1.5326120000000001</v>
      </c>
      <c r="J28" s="19"/>
      <c r="K28" s="19">
        <v>1.2490159999999999</v>
      </c>
      <c r="L28" s="19">
        <v>0.63874200000000003</v>
      </c>
      <c r="M28" s="19"/>
      <c r="N28" s="19"/>
      <c r="O28" s="19"/>
      <c r="P28" s="19"/>
      <c r="Q28" s="19"/>
      <c r="R28" s="19"/>
      <c r="S28" s="18"/>
      <c r="T28" s="17">
        <f>AVERAGE(B28:R28)</f>
        <v>1.0441994999999999</v>
      </c>
      <c r="U28" s="20">
        <f t="shared" ref="U28" si="6">_xlfn.STDEV.P(B28:R28)</f>
        <v>0.54922051658502036</v>
      </c>
      <c r="V28" s="3"/>
      <c r="W28" s="1"/>
    </row>
    <row r="29" spans="1:25" ht="15" thickTop="1">
      <c r="A29" s="24" t="s">
        <v>13</v>
      </c>
      <c r="B29" s="24"/>
      <c r="C29" s="24" t="s">
        <v>9</v>
      </c>
      <c r="D29" s="2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1"/>
      <c r="T29" s="1"/>
      <c r="U29" s="1"/>
      <c r="V29" s="1"/>
      <c r="W29" s="1"/>
      <c r="X29" s="1"/>
      <c r="Y29" s="1"/>
    </row>
    <row r="30" spans="1:25">
      <c r="A30" s="21" t="s">
        <v>7</v>
      </c>
      <c r="B30" s="21"/>
      <c r="C30" s="21" t="s">
        <v>17</v>
      </c>
      <c r="D30" s="2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1"/>
      <c r="T30" s="1"/>
      <c r="U30" s="1"/>
      <c r="V30" s="1"/>
      <c r="W30" s="1"/>
      <c r="X30" s="1"/>
      <c r="Y30" s="1"/>
    </row>
    <row r="31" spans="1:25">
      <c r="A31" s="21" t="s">
        <v>8</v>
      </c>
      <c r="B31" s="21"/>
      <c r="C31" s="21" t="s">
        <v>11</v>
      </c>
      <c r="D31" s="2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1"/>
      <c r="T31" s="1"/>
      <c r="U31" s="1"/>
      <c r="V31" s="1"/>
      <c r="W31" s="1"/>
      <c r="X31" s="1"/>
      <c r="Y31" s="1"/>
    </row>
    <row r="32" spans="1:25">
      <c r="A32" s="21" t="s">
        <v>12</v>
      </c>
      <c r="B32" s="21"/>
      <c r="C32" s="21" t="s">
        <v>26</v>
      </c>
      <c r="D32" s="21"/>
    </row>
    <row r="33" spans="1:21">
      <c r="A33" s="1"/>
      <c r="B33" s="1"/>
      <c r="C33" s="1"/>
      <c r="D33" s="1"/>
    </row>
    <row r="34" spans="1:21" ht="15" thickBot="1">
      <c r="A34" s="1"/>
      <c r="B34" s="1"/>
      <c r="C34" s="1"/>
      <c r="D34" s="1"/>
    </row>
    <row r="35" spans="1:21" ht="15" thickTop="1">
      <c r="A35" s="4" t="s">
        <v>18</v>
      </c>
      <c r="B35" s="25" t="s">
        <v>3</v>
      </c>
      <c r="C35" s="25"/>
      <c r="D35" s="25"/>
      <c r="E35" s="25" t="s">
        <v>4</v>
      </c>
      <c r="F35" s="25"/>
      <c r="G35" s="25"/>
      <c r="H35" s="25" t="s">
        <v>5</v>
      </c>
      <c r="I35" s="25"/>
      <c r="J35" s="25"/>
      <c r="K35" s="25" t="s">
        <v>6</v>
      </c>
      <c r="L35" s="25"/>
      <c r="M35" s="25"/>
      <c r="N35" s="25"/>
      <c r="O35" s="25"/>
      <c r="P35" s="25"/>
      <c r="Q35" s="25"/>
      <c r="R35" s="25"/>
      <c r="S35" s="25"/>
      <c r="T35" s="22" t="s">
        <v>1</v>
      </c>
      <c r="U35" s="23"/>
    </row>
    <row r="36" spans="1:21">
      <c r="A36" s="5" t="s">
        <v>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"/>
      <c r="T36" s="2" t="s">
        <v>1</v>
      </c>
      <c r="U36" s="14" t="s">
        <v>10</v>
      </c>
    </row>
    <row r="37" spans="1:21">
      <c r="A37" s="15">
        <v>0.6</v>
      </c>
      <c r="B37" s="16">
        <v>0.477551</v>
      </c>
      <c r="C37" s="17">
        <v>0.46976800000000002</v>
      </c>
      <c r="D37" s="17"/>
      <c r="E37" s="17">
        <v>0.52781100000000003</v>
      </c>
      <c r="F37" s="17">
        <v>0.51400199999999996</v>
      </c>
      <c r="G37" s="17"/>
      <c r="H37" s="16">
        <v>0.52157900000000001</v>
      </c>
      <c r="I37" s="17">
        <v>0.52698800000000001</v>
      </c>
      <c r="J37" s="17"/>
      <c r="K37" s="17">
        <v>0.528165</v>
      </c>
      <c r="L37" s="17">
        <v>0.53684699999999996</v>
      </c>
      <c r="M37" s="17"/>
      <c r="N37" s="16"/>
      <c r="O37" s="17"/>
      <c r="P37" s="17"/>
      <c r="Q37" s="17"/>
      <c r="R37" s="17"/>
      <c r="S37" s="18"/>
      <c r="T37" s="17">
        <f t="shared" ref="T37:T44" si="7">AVERAGE(B37:R37)</f>
        <v>0.51283887500000003</v>
      </c>
      <c r="U37" s="20">
        <f t="shared" ref="U37:U45" si="8">_xlfn.STDEV.P(B37:R37)</f>
        <v>2.3488612876442379E-2</v>
      </c>
    </row>
    <row r="38" spans="1:21">
      <c r="A38" s="15">
        <v>1</v>
      </c>
      <c r="B38" s="17">
        <v>1.2481420000000001</v>
      </c>
      <c r="C38" s="17">
        <v>1.278907</v>
      </c>
      <c r="D38" s="17"/>
      <c r="E38" s="17">
        <v>1.3483229999999999</v>
      </c>
      <c r="F38" s="17">
        <v>1.366878</v>
      </c>
      <c r="G38" s="17"/>
      <c r="H38" s="17">
        <v>1.4212009999999999</v>
      </c>
      <c r="I38" s="17">
        <v>1.431049</v>
      </c>
      <c r="J38" s="17"/>
      <c r="K38" s="17">
        <v>1.5206090000000001</v>
      </c>
      <c r="L38" s="17">
        <v>1.5192680000000001</v>
      </c>
      <c r="M38" s="17"/>
      <c r="N38" s="17"/>
      <c r="O38" s="17"/>
      <c r="P38" s="17"/>
      <c r="Q38" s="17"/>
      <c r="R38" s="17"/>
      <c r="S38" s="18"/>
      <c r="T38" s="17">
        <f t="shared" si="7"/>
        <v>1.3917971250000001</v>
      </c>
      <c r="U38" s="20">
        <f t="shared" si="8"/>
        <v>9.4299097468424242E-2</v>
      </c>
    </row>
    <row r="39" spans="1:21">
      <c r="A39" s="15">
        <v>1.4</v>
      </c>
      <c r="B39" s="17">
        <v>2.405554</v>
      </c>
      <c r="C39" s="17">
        <v>2.4125529999999999</v>
      </c>
      <c r="D39" s="17"/>
      <c r="E39" s="17">
        <v>2.75576</v>
      </c>
      <c r="F39" s="17">
        <v>2.771665</v>
      </c>
      <c r="G39" s="17"/>
      <c r="H39" s="17">
        <v>2.5609709999999999</v>
      </c>
      <c r="I39" s="17">
        <v>2.4345539999999999</v>
      </c>
      <c r="J39" s="17"/>
      <c r="K39" s="17">
        <v>2.879664</v>
      </c>
      <c r="L39" s="17">
        <v>2.9212340000000001</v>
      </c>
      <c r="M39" s="17"/>
      <c r="N39" s="17"/>
      <c r="O39" s="17"/>
      <c r="P39" s="17"/>
      <c r="Q39" s="17"/>
      <c r="R39" s="17"/>
      <c r="S39" s="18"/>
      <c r="T39" s="17">
        <f t="shared" si="7"/>
        <v>2.6427443750000004</v>
      </c>
      <c r="U39" s="20">
        <f t="shared" si="8"/>
        <v>0.2007354911338162</v>
      </c>
    </row>
    <row r="40" spans="1:21">
      <c r="A40" s="15">
        <v>1.6</v>
      </c>
      <c r="B40" s="17" t="s">
        <v>21</v>
      </c>
      <c r="C40" s="17"/>
      <c r="D40" s="17"/>
      <c r="E40" s="17">
        <v>3.7199369999999998</v>
      </c>
      <c r="F40" s="17">
        <v>3.6304639999999999</v>
      </c>
      <c r="G40" s="17"/>
      <c r="H40" s="17">
        <v>3.6787230000000002</v>
      </c>
      <c r="I40" s="17">
        <v>3.5405639999999998</v>
      </c>
      <c r="J40" s="17"/>
      <c r="K40" s="17">
        <v>3.7475700000000001</v>
      </c>
      <c r="L40" s="17">
        <v>3.4306459999999999</v>
      </c>
      <c r="M40" s="17"/>
      <c r="N40" s="17"/>
      <c r="O40" s="17"/>
      <c r="P40" s="17"/>
      <c r="Q40" s="17"/>
      <c r="R40" s="17"/>
      <c r="S40" s="18"/>
      <c r="T40" s="17">
        <f t="shared" si="7"/>
        <v>3.6246506666666662</v>
      </c>
      <c r="U40" s="20">
        <f t="shared" si="8"/>
        <v>0.10943387509003891</v>
      </c>
    </row>
    <row r="41" spans="1:21">
      <c r="A41" s="5">
        <v>1.7</v>
      </c>
      <c r="B41" s="2" t="s">
        <v>21</v>
      </c>
      <c r="C41" s="2"/>
      <c r="D41" s="2"/>
      <c r="E41" s="2">
        <v>3.1906210000000002</v>
      </c>
      <c r="F41" s="2">
        <v>3.4943740000000001</v>
      </c>
      <c r="G41" s="2"/>
      <c r="H41" s="2" t="s">
        <v>21</v>
      </c>
      <c r="I41" s="2" t="s">
        <v>21</v>
      </c>
      <c r="J41" s="2"/>
      <c r="K41" s="2">
        <v>3.9671400000000001</v>
      </c>
      <c r="L41" s="2">
        <v>3.7796479999999999</v>
      </c>
      <c r="M41" s="2"/>
      <c r="N41" s="2"/>
      <c r="O41" s="2"/>
      <c r="P41" s="2"/>
      <c r="Q41" s="2"/>
      <c r="R41" s="2"/>
      <c r="S41" s="1"/>
      <c r="T41" s="2">
        <f t="shared" si="7"/>
        <v>3.6079457500000003</v>
      </c>
      <c r="U41" s="14">
        <f t="shared" si="8"/>
        <v>0.29392203951420087</v>
      </c>
    </row>
    <row r="42" spans="1:21">
      <c r="A42" s="5">
        <v>1.8</v>
      </c>
      <c r="B42" s="2" t="s">
        <v>21</v>
      </c>
      <c r="C42" s="2" t="s">
        <v>21</v>
      </c>
      <c r="D42" s="2"/>
      <c r="E42" s="2">
        <v>4.486415</v>
      </c>
      <c r="F42" s="2">
        <v>4.0667030000000004</v>
      </c>
      <c r="G42" s="2"/>
      <c r="H42" s="2" t="s">
        <v>21</v>
      </c>
      <c r="I42" s="2" t="s">
        <v>21</v>
      </c>
      <c r="J42" s="2"/>
      <c r="K42" s="2" t="s">
        <v>21</v>
      </c>
      <c r="L42" s="2" t="s">
        <v>21</v>
      </c>
      <c r="M42" s="2"/>
      <c r="N42" s="2"/>
      <c r="O42" s="2"/>
      <c r="P42" s="2"/>
      <c r="Q42" s="2"/>
      <c r="R42" s="2"/>
      <c r="S42" s="1"/>
      <c r="T42" s="2">
        <f t="shared" si="7"/>
        <v>4.2765590000000007</v>
      </c>
      <c r="U42" s="14">
        <f t="shared" si="8"/>
        <v>0.20985599999999982</v>
      </c>
    </row>
    <row r="43" spans="1:21">
      <c r="A43" s="5">
        <v>1.9</v>
      </c>
      <c r="B43" s="2" t="s">
        <v>21</v>
      </c>
      <c r="C43" s="2" t="s">
        <v>21</v>
      </c>
      <c r="D43" s="2"/>
      <c r="E43" s="2">
        <v>3.6226959999999999</v>
      </c>
      <c r="F43" s="2">
        <v>3.06108</v>
      </c>
      <c r="G43" s="2"/>
      <c r="H43" s="2" t="s">
        <v>21</v>
      </c>
      <c r="I43" s="2" t="s">
        <v>21</v>
      </c>
      <c r="J43" s="2"/>
      <c r="K43" s="2" t="s">
        <v>21</v>
      </c>
      <c r="L43" s="2" t="s">
        <v>21</v>
      </c>
      <c r="M43" s="2"/>
      <c r="N43" s="2"/>
      <c r="O43" s="2"/>
      <c r="P43" s="2"/>
      <c r="Q43" s="2"/>
      <c r="R43" s="2"/>
      <c r="S43" s="1"/>
      <c r="T43" s="2">
        <f t="shared" si="7"/>
        <v>3.341888</v>
      </c>
      <c r="U43" s="14">
        <f t="shared" si="8"/>
        <v>0.28080799999999995</v>
      </c>
    </row>
    <row r="44" spans="1:21">
      <c r="A44" s="5">
        <v>2</v>
      </c>
      <c r="B44" s="2" t="s">
        <v>21</v>
      </c>
      <c r="C44" s="2" t="s">
        <v>21</v>
      </c>
      <c r="D44" s="2"/>
      <c r="E44" s="2">
        <v>0</v>
      </c>
      <c r="F44" s="2">
        <v>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1"/>
      <c r="T44" s="2">
        <f t="shared" si="7"/>
        <v>0</v>
      </c>
      <c r="U44" s="14">
        <f t="shared" si="8"/>
        <v>0</v>
      </c>
    </row>
    <row r="45" spans="1:21" ht="15" thickBot="1">
      <c r="A45" s="5">
        <v>2.2000000000000002</v>
      </c>
      <c r="B45" s="2"/>
      <c r="C45" s="2">
        <v>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"/>
      <c r="T45" s="2">
        <f>AVERAGE(B45:R45)</f>
        <v>0</v>
      </c>
      <c r="U45" s="14">
        <f t="shared" si="8"/>
        <v>0</v>
      </c>
    </row>
    <row r="46" spans="1:21" ht="15" thickTop="1">
      <c r="A46" s="24" t="s">
        <v>19</v>
      </c>
      <c r="B46" s="24"/>
      <c r="C46" s="24" t="s">
        <v>9</v>
      </c>
      <c r="D46" s="24"/>
    </row>
    <row r="47" spans="1:21">
      <c r="A47" s="21" t="s">
        <v>7</v>
      </c>
      <c r="B47" s="21"/>
      <c r="C47" s="21" t="s">
        <v>20</v>
      </c>
      <c r="D47" s="21"/>
    </row>
    <row r="48" spans="1:21">
      <c r="A48" s="21" t="s">
        <v>8</v>
      </c>
      <c r="B48" s="21"/>
      <c r="C48" s="21" t="s">
        <v>11</v>
      </c>
      <c r="D48" s="21"/>
    </row>
    <row r="49" spans="1:4">
      <c r="A49" s="21" t="s">
        <v>12</v>
      </c>
      <c r="B49" s="21"/>
      <c r="C49" s="21" t="s">
        <v>14</v>
      </c>
      <c r="D49" s="21"/>
    </row>
  </sheetData>
  <mergeCells count="45">
    <mergeCell ref="A49:B49"/>
    <mergeCell ref="C49:D49"/>
    <mergeCell ref="Q35:S35"/>
    <mergeCell ref="T35:U35"/>
    <mergeCell ref="A46:B46"/>
    <mergeCell ref="C46:D46"/>
    <mergeCell ref="A47:B47"/>
    <mergeCell ref="C47:D47"/>
    <mergeCell ref="B35:D35"/>
    <mergeCell ref="E35:G35"/>
    <mergeCell ref="H35:J35"/>
    <mergeCell ref="K35:M35"/>
    <mergeCell ref="N35:P35"/>
    <mergeCell ref="N2:P2"/>
    <mergeCell ref="Q2:S2"/>
    <mergeCell ref="T2:Y2"/>
    <mergeCell ref="A48:B48"/>
    <mergeCell ref="C48:D48"/>
    <mergeCell ref="A14:B14"/>
    <mergeCell ref="C14:D14"/>
    <mergeCell ref="B2:D2"/>
    <mergeCell ref="H2:J2"/>
    <mergeCell ref="K2:M2"/>
    <mergeCell ref="E2:G2"/>
    <mergeCell ref="A15:B15"/>
    <mergeCell ref="C15:D15"/>
    <mergeCell ref="A16:B16"/>
    <mergeCell ref="C16:D16"/>
    <mergeCell ref="A17:B17"/>
    <mergeCell ref="C17:D17"/>
    <mergeCell ref="A32:B32"/>
    <mergeCell ref="C32:D32"/>
    <mergeCell ref="T20:U20"/>
    <mergeCell ref="A29:B29"/>
    <mergeCell ref="C29:D29"/>
    <mergeCell ref="A30:B30"/>
    <mergeCell ref="C30:D30"/>
    <mergeCell ref="A31:B31"/>
    <mergeCell ref="C31:D31"/>
    <mergeCell ref="Q20:S20"/>
    <mergeCell ref="B20:D20"/>
    <mergeCell ref="E20:G20"/>
    <mergeCell ref="H20:J20"/>
    <mergeCell ref="K20:M20"/>
    <mergeCell ref="N20:P2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Marks</dc:creator>
  <cp:lastModifiedBy>CHEN, Xi</cp:lastModifiedBy>
  <dcterms:created xsi:type="dcterms:W3CDTF">2015-06-05T18:19:34Z</dcterms:created>
  <dcterms:modified xsi:type="dcterms:W3CDTF">2025-09-10T12:49:35Z</dcterms:modified>
</cp:coreProperties>
</file>
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xchenim\Documents\GitHub\Bayesian_Optimization_for_Sheet_Robots\"/>
    </mc:Choice>
  </mc:AlternateContent>
  <xr:revisionPtr revIDLastSave="0" documentId="13_ncr:1_{AA9FB49D-DBE6-4EE7-B1DC-14AA6A0DF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gnet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B11" i="1"/>
  <c r="L12" i="1" l="1"/>
  <c r="N12" i="1"/>
  <c r="P12" i="1"/>
  <c r="B12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J9" i="1"/>
  <c r="J12" i="1" s="1"/>
  <c r="K9" i="1"/>
  <c r="L9" i="1"/>
  <c r="M9" i="1"/>
  <c r="N9" i="1"/>
  <c r="O9" i="1"/>
  <c r="P9" i="1"/>
  <c r="Q9" i="1"/>
  <c r="C9" i="1"/>
  <c r="D9" i="1"/>
  <c r="E9" i="1"/>
  <c r="F9" i="1"/>
  <c r="G9" i="1"/>
  <c r="H9" i="1"/>
  <c r="I9" i="1"/>
  <c r="B9" i="1"/>
  <c r="F12" i="1" l="1"/>
  <c r="H12" i="1"/>
  <c r="D12" i="1"/>
</calcChain>
</file>

<file path=xl/sharedStrings.xml><?xml version="1.0" encoding="utf-8"?>
<sst xmlns="http://schemas.openxmlformats.org/spreadsheetml/2006/main" count="56" uniqueCount="21">
  <si>
    <t>材料</t>
    <phoneticPr fontId="2" type="noConversion"/>
  </si>
  <si>
    <t>比例</t>
    <phoneticPr fontId="2" type="noConversion"/>
  </si>
  <si>
    <t>1：0.5</t>
    <phoneticPr fontId="2" type="noConversion"/>
  </si>
  <si>
    <t>Sample1</t>
    <phoneticPr fontId="2" type="noConversion"/>
  </si>
  <si>
    <t>Sample2</t>
    <phoneticPr fontId="2" type="noConversion"/>
  </si>
  <si>
    <t>ecoflex</t>
    <phoneticPr fontId="2" type="noConversion"/>
  </si>
  <si>
    <t>1：1</t>
    <phoneticPr fontId="2" type="noConversion"/>
  </si>
  <si>
    <t>1：2</t>
    <phoneticPr fontId="2" type="noConversion"/>
  </si>
  <si>
    <t>1：3</t>
    <phoneticPr fontId="2" type="noConversion"/>
  </si>
  <si>
    <t>PDMS</t>
    <phoneticPr fontId="2" type="noConversion"/>
  </si>
  <si>
    <t>Epoxy</t>
    <phoneticPr fontId="2" type="noConversion"/>
  </si>
  <si>
    <t>Sample3</t>
    <phoneticPr fontId="2" type="noConversion"/>
  </si>
  <si>
    <t>(单位：memu)</t>
    <phoneticPr fontId="2" type="noConversion"/>
  </si>
  <si>
    <t>平均（memu）</t>
    <phoneticPr fontId="2" type="noConversion"/>
  </si>
  <si>
    <t>体积（m^3）</t>
    <phoneticPr fontId="2" type="noConversion"/>
  </si>
  <si>
    <t>剩磁（A/m）</t>
    <phoneticPr fontId="2" type="noConversion"/>
  </si>
  <si>
    <t>样品</t>
    <phoneticPr fontId="2" type="noConversion"/>
  </si>
  <si>
    <t>材料（Base Material）</t>
    <phoneticPr fontId="2" type="noConversion"/>
  </si>
  <si>
    <t>比例（Polymer:Magnetic powder Ratio)</t>
    <phoneticPr fontId="2" type="noConversion"/>
  </si>
  <si>
    <t>平均剩磁（Magnetization,A/m）</t>
    <phoneticPr fontId="2" type="noConversion"/>
  </si>
  <si>
    <t>P：E=1：1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</si>
</sst>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zoomScaleNormal="100" workbookViewId="0">
      <selection activeCell="L13" sqref="L13"/>
    </sheetView>
  </sheetViews>
  <sheetFormatPr defaultColWidth="9" defaultRowHeight="14.4"/>
  <cols>
    <col min="1" max="1" width="38.44140625" bestFit="1" customWidth="1"/>
    <col min="2" max="3" width="12.21875" bestFit="1" customWidth="1"/>
    <col min="4" max="4" width="10.109375" bestFit="1" customWidth="1"/>
    <col min="5" max="6" width="12.21875" bestFit="1" customWidth="1"/>
    <col min="7" max="11" width="11.109375" bestFit="1" customWidth="1"/>
    <col min="12" max="15" width="12.21875" bestFit="1" customWidth="1"/>
    <col min="16" max="16" width="10.109375" bestFit="1" customWidth="1"/>
  </cols>
  <sheetData>
    <row r="1" spans="1:17">
      <c r="A1" s="3" t="s">
        <v>17</v>
      </c>
      <c r="B1" s="9" t="s">
        <v>9</v>
      </c>
      <c r="C1" s="10"/>
      <c r="D1" s="10"/>
      <c r="E1" s="10"/>
      <c r="F1" s="10"/>
      <c r="G1" s="10"/>
      <c r="H1" s="10"/>
      <c r="I1" s="10"/>
      <c r="J1" s="9" t="s">
        <v>5</v>
      </c>
      <c r="K1" s="10"/>
      <c r="L1" s="10"/>
      <c r="M1" s="10"/>
      <c r="N1" s="10"/>
      <c r="O1" s="10"/>
      <c r="P1" s="10"/>
      <c r="Q1" s="10"/>
    </row>
    <row r="2" spans="1:17">
      <c r="A2" s="3" t="s">
        <v>18</v>
      </c>
      <c r="B2" s="11" t="s">
        <v>2</v>
      </c>
      <c r="C2" s="12"/>
      <c r="D2" s="11" t="s">
        <v>6</v>
      </c>
      <c r="E2" s="12"/>
      <c r="F2" s="11" t="s">
        <v>7</v>
      </c>
      <c r="G2" s="12"/>
      <c r="H2" s="11" t="s">
        <v>8</v>
      </c>
      <c r="I2" s="12"/>
      <c r="J2" s="11" t="s">
        <v>2</v>
      </c>
      <c r="K2" s="12"/>
      <c r="L2" s="11" t="s">
        <v>6</v>
      </c>
      <c r="M2" s="12"/>
      <c r="N2" s="11" t="s">
        <v>7</v>
      </c>
      <c r="O2" s="12"/>
      <c r="P2" s="11" t="s">
        <v>8</v>
      </c>
      <c r="Q2" s="12"/>
    </row>
    <row r="3" spans="1:17">
      <c r="A3" s="3" t="s">
        <v>16</v>
      </c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3" t="s">
        <v>4</v>
      </c>
      <c r="H3" s="3" t="s">
        <v>3</v>
      </c>
      <c r="I3" s="3" t="s">
        <v>4</v>
      </c>
      <c r="J3" s="3" t="s">
        <v>3</v>
      </c>
      <c r="K3" s="3" t="s">
        <v>4</v>
      </c>
      <c r="L3" s="3" t="s">
        <v>3</v>
      </c>
      <c r="M3" s="3" t="s">
        <v>4</v>
      </c>
      <c r="N3" s="3" t="s">
        <v>3</v>
      </c>
      <c r="O3" s="3" t="s">
        <v>4</v>
      </c>
      <c r="P3" s="3" t="s">
        <v>3</v>
      </c>
      <c r="Q3" s="3" t="s">
        <v>4</v>
      </c>
    </row>
    <row r="4" spans="1:17">
      <c r="A4" s="7" t="s">
        <v>12</v>
      </c>
      <c r="B4" s="4">
        <v>-307.64499999999998</v>
      </c>
      <c r="C4" s="4">
        <v>-328.51100000000002</v>
      </c>
      <c r="D4" s="4">
        <v>-444.86399999999998</v>
      </c>
      <c r="E4" s="4">
        <v>450.22399999999999</v>
      </c>
      <c r="F4" s="4">
        <v>823.39800000000002</v>
      </c>
      <c r="G4" s="4">
        <v>-816.33100000000002</v>
      </c>
      <c r="H4" s="4">
        <v>-1048.0999999999999</v>
      </c>
      <c r="I4" s="4">
        <v>-1043.6400000000001</v>
      </c>
      <c r="J4" s="4">
        <v>323.59399999999999</v>
      </c>
      <c r="K4" s="4">
        <v>362.08600000000001</v>
      </c>
      <c r="L4" s="4">
        <v>515.93499999999995</v>
      </c>
      <c r="M4" s="4">
        <v>557.87099999999998</v>
      </c>
      <c r="N4" s="4">
        <v>-797.88</v>
      </c>
      <c r="O4" s="4">
        <v>-800.08600000000001</v>
      </c>
      <c r="P4" s="4">
        <v>-1004.35</v>
      </c>
      <c r="Q4" s="4">
        <v>-1065.5</v>
      </c>
    </row>
    <row r="5" spans="1:17">
      <c r="A5" s="8"/>
      <c r="B5" s="4">
        <v>-307.98399999999998</v>
      </c>
      <c r="C5" s="4">
        <v>-328.51400000000001</v>
      </c>
      <c r="D5" s="4">
        <v>-444.93099999999998</v>
      </c>
      <c r="E5" s="4">
        <v>450.64</v>
      </c>
      <c r="F5" s="4">
        <v>823.65</v>
      </c>
      <c r="G5" s="4">
        <v>-816.46299999999997</v>
      </c>
      <c r="H5" s="4">
        <v>-1048.22</v>
      </c>
      <c r="I5" s="4">
        <v>-1044.6300000000001</v>
      </c>
      <c r="J5" s="4">
        <v>323.64600000000002</v>
      </c>
      <c r="K5" s="4">
        <v>362.05799999999999</v>
      </c>
      <c r="L5" s="4">
        <v>516.08699999999999</v>
      </c>
      <c r="M5" s="4">
        <v>557.88</v>
      </c>
      <c r="N5" s="4">
        <v>-797.73</v>
      </c>
      <c r="O5" s="4">
        <v>-800.11699999999996</v>
      </c>
      <c r="P5" s="4">
        <v>-1004.51</v>
      </c>
      <c r="Q5" s="4">
        <v>-1065.71</v>
      </c>
    </row>
    <row r="6" spans="1:17">
      <c r="A6" s="8"/>
      <c r="B6" s="4">
        <v>-307.99700000000001</v>
      </c>
      <c r="C6" s="4">
        <v>-328.61500000000001</v>
      </c>
      <c r="D6" s="4">
        <v>-444.63200000000001</v>
      </c>
      <c r="E6" s="4">
        <v>450.48599999999999</v>
      </c>
      <c r="F6" s="4">
        <v>823.63400000000001</v>
      </c>
      <c r="G6" s="4">
        <v>-816.37400000000002</v>
      </c>
      <c r="H6" s="4">
        <v>-1048.33</v>
      </c>
      <c r="I6" s="4">
        <v>-1044.28</v>
      </c>
      <c r="J6" s="4">
        <v>323.661</v>
      </c>
      <c r="K6" s="4">
        <v>362.036</v>
      </c>
      <c r="L6" s="4">
        <v>516.03700000000003</v>
      </c>
      <c r="M6" s="4">
        <v>557.94600000000003</v>
      </c>
      <c r="N6" s="4">
        <v>-797.69399999999996</v>
      </c>
      <c r="O6" s="4">
        <v>-800.00099999999998</v>
      </c>
      <c r="P6" s="4">
        <v>-1004.64</v>
      </c>
      <c r="Q6" s="4">
        <v>-1065.47</v>
      </c>
    </row>
    <row r="7" spans="1:17">
      <c r="A7" s="8"/>
      <c r="B7" s="4">
        <v>-307.96899999999999</v>
      </c>
      <c r="C7" s="4">
        <v>-328.60700000000003</v>
      </c>
      <c r="D7" s="4">
        <v>-44.677</v>
      </c>
      <c r="E7" s="4">
        <v>450.404</v>
      </c>
      <c r="F7" s="4">
        <v>823.66700000000003</v>
      </c>
      <c r="G7" s="4">
        <v>-816.38199999999995</v>
      </c>
      <c r="H7" s="4">
        <v>-1048.42</v>
      </c>
      <c r="I7" s="4">
        <v>-1044.32</v>
      </c>
      <c r="J7" s="4">
        <v>323.61500000000001</v>
      </c>
      <c r="K7" s="4">
        <v>361.87099999999998</v>
      </c>
      <c r="L7" s="4">
        <v>516.03399999999999</v>
      </c>
      <c r="M7" s="4">
        <v>557.95600000000002</v>
      </c>
      <c r="N7" s="4">
        <v>-797.86099999999999</v>
      </c>
      <c r="O7" s="4">
        <v>-799.99300000000005</v>
      </c>
      <c r="P7" s="4">
        <v>-1004.67</v>
      </c>
      <c r="Q7" s="4">
        <v>-1065.43</v>
      </c>
    </row>
    <row r="8" spans="1:17">
      <c r="A8" s="8"/>
      <c r="B8" s="4">
        <v>-307.779</v>
      </c>
      <c r="C8" s="4">
        <v>-328.60500000000002</v>
      </c>
      <c r="D8" s="4">
        <v>-444.76100000000002</v>
      </c>
      <c r="E8" s="4">
        <v>450.61099999999999</v>
      </c>
      <c r="F8" s="4">
        <v>823.774</v>
      </c>
      <c r="G8" s="4">
        <v>-816.46699999999998</v>
      </c>
      <c r="H8" s="4">
        <v>-1048.56</v>
      </c>
      <c r="I8" s="4">
        <v>-1043.8699999999999</v>
      </c>
      <c r="J8" s="4">
        <v>323.63799999999998</v>
      </c>
      <c r="K8" s="4">
        <v>361.84199999999998</v>
      </c>
      <c r="L8" s="4">
        <v>515.97500000000002</v>
      </c>
      <c r="M8" s="4">
        <v>557.91600000000005</v>
      </c>
      <c r="N8" s="4">
        <v>-797.81399999999996</v>
      </c>
      <c r="O8" s="4">
        <v>-800.10699999999997</v>
      </c>
      <c r="P8" s="4">
        <v>-1004.57</v>
      </c>
      <c r="Q8" s="4">
        <v>-1065.8499999999999</v>
      </c>
    </row>
    <row r="9" spans="1:17">
      <c r="A9" s="3" t="s">
        <v>13</v>
      </c>
      <c r="B9" s="4">
        <f>ABS(AVERAGE(B4:B8))</f>
        <v>307.87479999999999</v>
      </c>
      <c r="C9" s="4">
        <f t="shared" ref="C9:I9" si="0">ABS(AVERAGE(C4:C8))</f>
        <v>328.57040000000001</v>
      </c>
      <c r="D9" s="4">
        <f t="shared" si="0"/>
        <v>364.77299999999997</v>
      </c>
      <c r="E9" s="4">
        <f t="shared" si="0"/>
        <v>450.47299999999996</v>
      </c>
      <c r="F9" s="4">
        <f t="shared" si="0"/>
        <v>823.62459999999987</v>
      </c>
      <c r="G9" s="4">
        <f t="shared" si="0"/>
        <v>816.40339999999992</v>
      </c>
      <c r="H9" s="4">
        <f t="shared" si="0"/>
        <v>1048.3259999999998</v>
      </c>
      <c r="I9" s="4">
        <f t="shared" si="0"/>
        <v>1044.1479999999999</v>
      </c>
      <c r="J9" s="4">
        <f t="shared" ref="J9" si="1">ABS(AVERAGE(J4:J8))</f>
        <v>323.63080000000002</v>
      </c>
      <c r="K9" s="4">
        <f t="shared" ref="K9" si="2">ABS(AVERAGE(K4:K8))</f>
        <v>361.97860000000003</v>
      </c>
      <c r="L9" s="4">
        <f t="shared" ref="L9" si="3">ABS(AVERAGE(L4:L8))</f>
        <v>516.0136</v>
      </c>
      <c r="M9" s="4">
        <f t="shared" ref="M9" si="4">ABS(AVERAGE(M4:M8))</f>
        <v>557.91380000000004</v>
      </c>
      <c r="N9" s="4">
        <f t="shared" ref="N9" si="5">ABS(AVERAGE(N4:N8))</f>
        <v>797.79579999999999</v>
      </c>
      <c r="O9" s="4">
        <f t="shared" ref="O9" si="6">ABS(AVERAGE(O4:O8))</f>
        <v>800.06079999999997</v>
      </c>
      <c r="P9" s="4">
        <f t="shared" ref="P9" si="7">ABS(AVERAGE(P4:P8))</f>
        <v>1004.548</v>
      </c>
      <c r="Q9" s="4">
        <f t="shared" ref="Q9" si="8">ABS(AVERAGE(Q4:Q8))</f>
        <v>1065.5920000000001</v>
      </c>
    </row>
    <row r="10" spans="1:17">
      <c r="A10" s="3" t="s">
        <v>14</v>
      </c>
      <c r="B10" s="4">
        <f>6*6.1*0.5795*(10^-9)</f>
        <v>2.12097E-8</v>
      </c>
      <c r="C10" s="4">
        <f>6*6.1*0.5505*(10^-9)</f>
        <v>2.0148299999999996E-8</v>
      </c>
      <c r="D10" s="4">
        <f>6*6*0.57*(10^-9)</f>
        <v>2.0520000000000001E-8</v>
      </c>
      <c r="E10" s="4">
        <f>6.1*6.1*0.5305*(10^-9)</f>
        <v>1.9739905E-8</v>
      </c>
      <c r="F10" s="4">
        <f>6*6.1*0.5725*(10^-9)</f>
        <v>2.09535E-8</v>
      </c>
      <c r="G10" s="4">
        <f>6*6*0.5755*(10^-9)</f>
        <v>2.0718000000000001E-8</v>
      </c>
      <c r="H10" s="4">
        <f>6*6*0.559*(10^-9)</f>
        <v>2.0124000000000002E-8</v>
      </c>
      <c r="I10" s="4">
        <f>6*6*0.5655*(10^-9)</f>
        <v>2.0358000000000003E-8</v>
      </c>
      <c r="J10" s="4">
        <f>6*6*0.5965*(10^-9)</f>
        <v>2.1474000000000001E-8</v>
      </c>
      <c r="K10" s="4">
        <f>6*6*0.5515*(10^-9)</f>
        <v>1.9854E-8</v>
      </c>
      <c r="L10" s="4">
        <f>6.1*6.1*0.589*(10^-9)</f>
        <v>2.1916689999999997E-8</v>
      </c>
      <c r="M10" s="4">
        <f>6.1*6.1*0.5325*(10^-9)</f>
        <v>1.9814324999999999E-8</v>
      </c>
      <c r="N10" s="4">
        <f>6*6*0.5655*(10^-9)</f>
        <v>2.0358000000000003E-8</v>
      </c>
      <c r="O10" s="4">
        <f>6*6*0.523*(10^-9)</f>
        <v>1.8828000000000002E-8</v>
      </c>
      <c r="P10" s="4">
        <f>6*6*0.5925*(10^-9)</f>
        <v>2.1330000000000003E-8</v>
      </c>
      <c r="Q10" s="4">
        <f>6*6*0.55*(10^-9)</f>
        <v>1.9800000000000002E-8</v>
      </c>
    </row>
    <row r="11" spans="1:17">
      <c r="A11" s="3" t="s">
        <v>15</v>
      </c>
      <c r="B11" s="4">
        <f>B9*10^-6/B10</f>
        <v>14515.754583987515</v>
      </c>
      <c r="C11" s="4">
        <f t="shared" ref="C11:Q11" si="9">C9*10^-6/C10</f>
        <v>16307.599152285804</v>
      </c>
      <c r="D11" s="4">
        <f t="shared" si="9"/>
        <v>17776.46198830409</v>
      </c>
      <c r="E11" s="4">
        <f t="shared" si="9"/>
        <v>22820.423907815159</v>
      </c>
      <c r="F11" s="4">
        <f t="shared" si="9"/>
        <v>39307.256544252741</v>
      </c>
      <c r="G11" s="4">
        <f t="shared" si="9"/>
        <v>39405.512115069017</v>
      </c>
      <c r="H11" s="4">
        <f t="shared" si="9"/>
        <v>52093.321407274881</v>
      </c>
      <c r="I11" s="4">
        <f t="shared" si="9"/>
        <v>51289.321151390104</v>
      </c>
      <c r="J11" s="4">
        <f t="shared" si="9"/>
        <v>15070.82052714911</v>
      </c>
      <c r="K11" s="4">
        <f t="shared" si="9"/>
        <v>18232.023773546895</v>
      </c>
      <c r="L11" s="4">
        <f t="shared" si="9"/>
        <v>23544.321701862827</v>
      </c>
      <c r="M11" s="4">
        <f t="shared" si="9"/>
        <v>28157.0934160008</v>
      </c>
      <c r="N11" s="4">
        <f t="shared" si="9"/>
        <v>39188.319088319084</v>
      </c>
      <c r="O11" s="4">
        <f t="shared" si="9"/>
        <v>42493.137879753551</v>
      </c>
      <c r="P11" s="4">
        <f t="shared" si="9"/>
        <v>47095.546179090466</v>
      </c>
      <c r="Q11" s="4">
        <f t="shared" si="9"/>
        <v>53817.777777777774</v>
      </c>
    </row>
    <row r="12" spans="1:17">
      <c r="A12" s="6" t="s">
        <v>19</v>
      </c>
      <c r="B12" s="13">
        <f>AVERAGE(B11:C11)</f>
        <v>15411.676868136659</v>
      </c>
      <c r="C12" s="14"/>
      <c r="D12" s="13">
        <f t="shared" ref="D12" si="10">AVERAGE(D11:E11)</f>
        <v>20298.442948059623</v>
      </c>
      <c r="E12" s="14"/>
      <c r="F12" s="13">
        <f t="shared" ref="F12" si="11">AVERAGE(F11:G11)</f>
        <v>39356.384329660883</v>
      </c>
      <c r="G12" s="14"/>
      <c r="H12" s="13">
        <f t="shared" ref="H12" si="12">AVERAGE(H11:I11)</f>
        <v>51691.321279332493</v>
      </c>
      <c r="I12" s="14"/>
      <c r="J12" s="13">
        <f t="shared" ref="J12" si="13">AVERAGE(J11:K11)</f>
        <v>16651.422150348</v>
      </c>
      <c r="K12" s="14"/>
      <c r="L12" s="13">
        <f t="shared" ref="L12" si="14">AVERAGE(L11:M11)</f>
        <v>25850.707558931812</v>
      </c>
      <c r="M12" s="14"/>
      <c r="N12" s="13">
        <f t="shared" ref="N12" si="15">AVERAGE(N11:O11)</f>
        <v>40840.728484036314</v>
      </c>
      <c r="O12" s="14"/>
      <c r="P12" s="13">
        <f t="shared" ref="P12" si="16">AVERAGE(P11:Q11)</f>
        <v>50456.661978434116</v>
      </c>
      <c r="Q12" s="14"/>
    </row>
    <row r="13" spans="1:17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3" t="s">
        <v>0</v>
      </c>
      <c r="B16" s="9" t="s">
        <v>20</v>
      </c>
      <c r="C16" s="10"/>
      <c r="D16" s="10"/>
      <c r="E16" s="10"/>
      <c r="F16" s="10"/>
      <c r="G16" s="10"/>
      <c r="H16" s="10"/>
      <c r="I16" s="10"/>
      <c r="J16" s="9" t="s">
        <v>10</v>
      </c>
      <c r="K16" s="10"/>
      <c r="L16" s="10"/>
      <c r="M16" s="2"/>
      <c r="N16" s="2"/>
      <c r="O16" s="2"/>
    </row>
    <row r="17" spans="1:22">
      <c r="A17" s="3" t="s">
        <v>1</v>
      </c>
      <c r="B17" s="11" t="s">
        <v>2</v>
      </c>
      <c r="C17" s="12"/>
      <c r="D17" s="11" t="s">
        <v>6</v>
      </c>
      <c r="E17" s="12"/>
      <c r="F17" s="11" t="s">
        <v>7</v>
      </c>
      <c r="G17" s="12"/>
      <c r="H17" s="11" t="s">
        <v>8</v>
      </c>
      <c r="I17" s="12"/>
      <c r="J17" s="11" t="s">
        <v>2</v>
      </c>
      <c r="K17" s="12"/>
      <c r="L17" s="10"/>
      <c r="M17" s="2"/>
      <c r="N17" s="2"/>
      <c r="O17" s="2"/>
    </row>
    <row r="18" spans="1:22">
      <c r="A18" s="3" t="s">
        <v>16</v>
      </c>
      <c r="B18" s="3" t="s">
        <v>3</v>
      </c>
      <c r="C18" s="3" t="s">
        <v>4</v>
      </c>
      <c r="D18" s="3" t="s">
        <v>3</v>
      </c>
      <c r="E18" s="3" t="s">
        <v>4</v>
      </c>
      <c r="F18" s="3" t="s">
        <v>3</v>
      </c>
      <c r="G18" s="3" t="s">
        <v>4</v>
      </c>
      <c r="H18" s="3" t="s">
        <v>3</v>
      </c>
      <c r="I18" s="3" t="s">
        <v>4</v>
      </c>
      <c r="J18" s="3" t="s">
        <v>3</v>
      </c>
      <c r="K18" s="3" t="s">
        <v>4</v>
      </c>
      <c r="L18" s="3" t="s">
        <v>11</v>
      </c>
      <c r="M18" s="2"/>
      <c r="N18" s="2"/>
      <c r="O18" s="2"/>
      <c r="S18" s="1"/>
      <c r="T18" s="1"/>
      <c r="U18" s="1"/>
      <c r="V18" s="1"/>
    </row>
    <row r="19" spans="1:22">
      <c r="A19" s="7" t="s">
        <v>12</v>
      </c>
      <c r="B19" s="4">
        <v>336.31900000000002</v>
      </c>
      <c r="C19" s="4">
        <v>299.065</v>
      </c>
      <c r="D19" s="4">
        <v>559.94399999999996</v>
      </c>
      <c r="E19" s="4">
        <v>557.72199999999998</v>
      </c>
      <c r="F19" s="4">
        <v>806.40200000000004</v>
      </c>
      <c r="G19" s="4">
        <v>855.63199999999995</v>
      </c>
      <c r="H19" s="4">
        <v>999.76099999999997</v>
      </c>
      <c r="I19" s="4">
        <v>1031.69</v>
      </c>
      <c r="J19" s="4">
        <v>-448.28100000000001</v>
      </c>
      <c r="K19" s="4">
        <v>-443.63600000000002</v>
      </c>
      <c r="L19" s="4">
        <v>-438.23599999999999</v>
      </c>
      <c r="M19" s="2"/>
      <c r="N19" s="2"/>
      <c r="O19" s="2"/>
    </row>
    <row r="20" spans="1:22">
      <c r="A20" s="8"/>
      <c r="B20" s="4">
        <v>336.34500000000003</v>
      </c>
      <c r="C20" s="4">
        <v>299.05500000000001</v>
      </c>
      <c r="D20" s="4">
        <v>559.83199999999999</v>
      </c>
      <c r="E20" s="4">
        <v>557.63499999999999</v>
      </c>
      <c r="F20" s="4">
        <v>806.37199999999996</v>
      </c>
      <c r="G20" s="4">
        <v>855.68899999999996</v>
      </c>
      <c r="H20" s="4">
        <v>999.70699999999999</v>
      </c>
      <c r="I20" s="4">
        <v>1031.5899999999999</v>
      </c>
      <c r="J20" s="4">
        <v>-448.26600000000002</v>
      </c>
      <c r="K20" s="4">
        <v>-443.745</v>
      </c>
      <c r="L20" s="4">
        <v>-438.24299999999999</v>
      </c>
      <c r="M20" s="2"/>
      <c r="N20" s="2"/>
      <c r="O20" s="2"/>
    </row>
    <row r="21" spans="1:22">
      <c r="A21" s="8"/>
      <c r="B21" s="4">
        <v>336.42700000000002</v>
      </c>
      <c r="C21" s="4">
        <v>299.089</v>
      </c>
      <c r="D21" s="4">
        <v>559.90499999999997</v>
      </c>
      <c r="E21" s="4">
        <v>557.78099999999995</v>
      </c>
      <c r="F21" s="4">
        <v>806.46299999999997</v>
      </c>
      <c r="G21" s="4">
        <v>855.66600000000005</v>
      </c>
      <c r="H21" s="4">
        <v>999.774</v>
      </c>
      <c r="I21" s="4">
        <v>1031.75</v>
      </c>
      <c r="J21" s="4">
        <v>-448.26499999999999</v>
      </c>
      <c r="K21" s="4">
        <v>-443.71199999999999</v>
      </c>
      <c r="L21" s="4">
        <v>-438.23</v>
      </c>
      <c r="M21" s="2"/>
      <c r="N21" s="2"/>
      <c r="O21" s="2"/>
    </row>
    <row r="22" spans="1:22">
      <c r="A22" s="8"/>
      <c r="B22" s="4">
        <v>336.35500000000002</v>
      </c>
      <c r="C22" s="4">
        <v>299.04199999999997</v>
      </c>
      <c r="D22" s="4">
        <v>559.76099999999997</v>
      </c>
      <c r="E22" s="4">
        <v>557.702</v>
      </c>
      <c r="F22" s="4">
        <v>806.49599999999998</v>
      </c>
      <c r="G22" s="4">
        <v>855.84400000000005</v>
      </c>
      <c r="H22" s="4">
        <v>999.83199999999999</v>
      </c>
      <c r="I22" s="4">
        <v>1031.69</v>
      </c>
      <c r="J22" s="4">
        <v>-448.29899999999998</v>
      </c>
      <c r="K22" s="4">
        <v>-443.66300000000001</v>
      </c>
      <c r="L22" s="4">
        <v>-438.19099999999997</v>
      </c>
      <c r="M22" s="2"/>
      <c r="N22" s="2"/>
      <c r="O22" s="2"/>
    </row>
    <row r="23" spans="1:22">
      <c r="A23" s="8"/>
      <c r="B23" s="4">
        <v>336.38</v>
      </c>
      <c r="C23" s="4">
        <v>299.08199999999999</v>
      </c>
      <c r="D23" s="4">
        <v>559.80100000000004</v>
      </c>
      <c r="E23" s="4">
        <v>557.67899999999997</v>
      </c>
      <c r="F23" s="4">
        <v>806.38300000000004</v>
      </c>
      <c r="G23" s="4">
        <v>855.76800000000003</v>
      </c>
      <c r="H23" s="4">
        <v>999.92700000000002</v>
      </c>
      <c r="I23" s="4">
        <v>1031.81</v>
      </c>
      <c r="J23" s="4">
        <v>-448.30200000000002</v>
      </c>
      <c r="K23" s="4">
        <v>-443.63499999999999</v>
      </c>
      <c r="L23" s="4">
        <v>-438.20800000000003</v>
      </c>
      <c r="M23" s="2"/>
      <c r="N23" s="2"/>
      <c r="O23" s="2"/>
    </row>
  </sheetData>
  <mergeCells count="27">
    <mergeCell ref="B1:I1"/>
    <mergeCell ref="N2:O2"/>
    <mergeCell ref="P2:Q2"/>
    <mergeCell ref="J1:Q1"/>
    <mergeCell ref="B16:I16"/>
    <mergeCell ref="B2:C2"/>
    <mergeCell ref="D2:E2"/>
    <mergeCell ref="F2:G2"/>
    <mergeCell ref="H2:I2"/>
    <mergeCell ref="J2:K2"/>
    <mergeCell ref="L2:M2"/>
    <mergeCell ref="N12:O12"/>
    <mergeCell ref="P12:Q12"/>
    <mergeCell ref="A4:A8"/>
    <mergeCell ref="A19:A23"/>
    <mergeCell ref="J16:L16"/>
    <mergeCell ref="J17:L17"/>
    <mergeCell ref="B17:C17"/>
    <mergeCell ref="D17:E17"/>
    <mergeCell ref="F17:G17"/>
    <mergeCell ref="H17:I17"/>
    <mergeCell ref="B12:C12"/>
    <mergeCell ref="D12:E12"/>
    <mergeCell ref="F12:G12"/>
    <mergeCell ref="H12:I12"/>
    <mergeCell ref="J12:K12"/>
    <mergeCell ref="L12:M12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Magnetization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郑奕</dc:creator>
  <cp:lastModifiedBy>CHEN, Xi</cp:lastModifiedBy>
  <dcterms:created xsi:type="dcterms:W3CDTF">2023-05-12T11:15:00Z</dcterms:created>
  <dcterms:modified xsi:type="dcterms:W3CDTF">2025-07-15T03:30:04Z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